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WORK\Запросы\Ответы на е отиниш\Бутабаевв Д. А\"/>
    </mc:Choice>
  </mc:AlternateContent>
  <xr:revisionPtr revIDLastSave="0" documentId="13_ncr:1_{21D94DF2-E6CF-46EE-9C41-E239EBD59B8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заболев" sheetId="1" r:id="rId1"/>
    <sheet name="Охват" sheetId="2" r:id="rId2"/>
    <sheet name="попривит.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I10" i="1" l="1"/>
  <c r="KD5" i="1"/>
  <c r="KD6" i="1"/>
  <c r="KD7" i="1"/>
  <c r="KD8" i="1"/>
  <c r="KD9" i="1"/>
  <c r="KD10" i="1"/>
  <c r="KD11" i="1"/>
  <c r="KD12" i="1"/>
  <c r="KD13" i="1"/>
  <c r="KD14" i="1"/>
  <c r="KD15" i="1"/>
  <c r="KD16" i="1"/>
  <c r="KD17" i="1"/>
  <c r="KD18" i="1"/>
  <c r="KD19" i="1"/>
  <c r="KD20" i="1"/>
  <c r="KD21" i="1"/>
  <c r="KD22" i="1"/>
  <c r="KD23" i="1"/>
  <c r="KD4" i="1"/>
  <c r="KC5" i="1"/>
  <c r="KC6" i="1"/>
  <c r="KC7" i="1"/>
  <c r="KC8" i="1"/>
  <c r="KC9" i="1"/>
  <c r="KC10" i="1"/>
  <c r="KC11" i="1"/>
  <c r="KC12" i="1"/>
  <c r="KC13" i="1"/>
  <c r="KC14" i="1"/>
  <c r="KC15" i="1"/>
  <c r="KC16" i="1"/>
  <c r="KC17" i="1"/>
  <c r="KC18" i="1"/>
  <c r="KC19" i="1"/>
  <c r="KC20" i="1"/>
  <c r="KC21" i="1"/>
  <c r="KC22" i="1"/>
  <c r="KC23" i="1"/>
  <c r="KC4" i="1"/>
  <c r="JG5" i="1"/>
  <c r="JG6" i="1"/>
  <c r="JG7" i="1"/>
  <c r="JG8" i="1"/>
  <c r="JG9" i="1"/>
  <c r="JG10" i="1"/>
  <c r="JG11" i="1"/>
  <c r="JG12" i="1"/>
  <c r="JG13" i="1"/>
  <c r="JG14" i="1"/>
  <c r="JG15" i="1"/>
  <c r="JG16" i="1"/>
  <c r="JG17" i="1"/>
  <c r="JG18" i="1"/>
  <c r="JG19" i="1"/>
  <c r="JG20" i="1"/>
  <c r="JG21" i="1"/>
  <c r="JG22" i="1"/>
  <c r="JG23" i="1"/>
  <c r="JG4" i="1"/>
  <c r="JF5" i="1"/>
  <c r="JF6" i="1"/>
  <c r="JF7" i="1"/>
  <c r="JF8" i="1"/>
  <c r="JF9" i="1"/>
  <c r="JF10" i="1"/>
  <c r="JF11" i="1"/>
  <c r="JF12" i="1"/>
  <c r="JF13" i="1"/>
  <c r="JF14" i="1"/>
  <c r="JF15" i="1"/>
  <c r="JF16" i="1"/>
  <c r="JF17" i="1"/>
  <c r="JF18" i="1"/>
  <c r="JF19" i="1"/>
  <c r="JF20" i="1"/>
  <c r="JF21" i="1"/>
  <c r="JF22" i="1"/>
  <c r="JF23" i="1"/>
  <c r="JF4" i="1"/>
  <c r="HU5" i="1"/>
  <c r="HU6" i="1"/>
  <c r="HU7" i="1"/>
  <c r="HU8" i="1"/>
  <c r="HU9" i="1"/>
  <c r="HU10" i="1"/>
  <c r="HU11" i="1"/>
  <c r="HU12" i="1"/>
  <c r="HU13" i="1"/>
  <c r="HU14" i="1"/>
  <c r="HU15" i="1"/>
  <c r="HU16" i="1"/>
  <c r="HU17" i="1"/>
  <c r="HU18" i="1"/>
  <c r="HU19" i="1"/>
  <c r="HU20" i="1"/>
  <c r="HU21" i="1"/>
  <c r="HU22" i="1"/>
  <c r="HU23" i="1"/>
  <c r="HU4" i="1"/>
  <c r="HT5" i="1"/>
  <c r="HT6" i="1"/>
  <c r="HT7" i="1"/>
  <c r="HT8" i="1"/>
  <c r="HT9" i="1"/>
  <c r="HT10" i="1"/>
  <c r="HT11" i="1"/>
  <c r="HT12" i="1"/>
  <c r="HT13" i="1"/>
  <c r="HT14" i="1"/>
  <c r="HT15" i="1"/>
  <c r="HT16" i="1"/>
  <c r="HT17" i="1"/>
  <c r="HT18" i="1"/>
  <c r="HT19" i="1"/>
  <c r="HT20" i="1"/>
  <c r="HT21" i="1"/>
  <c r="HT22" i="1"/>
  <c r="HT23" i="1"/>
  <c r="HT4" i="1"/>
  <c r="GI5" i="1"/>
  <c r="GI6" i="1"/>
  <c r="GI7" i="1"/>
  <c r="GI8" i="1"/>
  <c r="GI9" i="1"/>
  <c r="GI11" i="1"/>
  <c r="GI12" i="1"/>
  <c r="GI13" i="1"/>
  <c r="GI14" i="1"/>
  <c r="GI15" i="1"/>
  <c r="GI16" i="1"/>
  <c r="GI17" i="1"/>
  <c r="GI18" i="1"/>
  <c r="GI19" i="1"/>
  <c r="GI20" i="1"/>
  <c r="GI21" i="1"/>
  <c r="GI22" i="1"/>
  <c r="GI23" i="1"/>
  <c r="GI4" i="1"/>
  <c r="GH5" i="1"/>
  <c r="GH6" i="1"/>
  <c r="GH7" i="1"/>
  <c r="GH8" i="1"/>
  <c r="GH9" i="1"/>
  <c r="GH10" i="1"/>
  <c r="GH11" i="1"/>
  <c r="GH12" i="1"/>
  <c r="GH13" i="1"/>
  <c r="GH14" i="1"/>
  <c r="GH15" i="1"/>
  <c r="GH16" i="1"/>
  <c r="GH17" i="1"/>
  <c r="GH18" i="1"/>
  <c r="GH19" i="1"/>
  <c r="GH20" i="1"/>
  <c r="GH21" i="1"/>
  <c r="GH22" i="1"/>
  <c r="GH23" i="1"/>
  <c r="GH4" i="1"/>
  <c r="EW6" i="1"/>
  <c r="EW7" i="1"/>
  <c r="EW8" i="1"/>
  <c r="EW9" i="1"/>
  <c r="EW10" i="1"/>
  <c r="EW11" i="1"/>
  <c r="EW12" i="1"/>
  <c r="EW13" i="1"/>
  <c r="EW14" i="1"/>
  <c r="EW15" i="1"/>
  <c r="EW16" i="1"/>
  <c r="EW17" i="1"/>
  <c r="EW18" i="1"/>
  <c r="EW19" i="1"/>
  <c r="EW20" i="1"/>
  <c r="EW21" i="1"/>
  <c r="EW22" i="1"/>
  <c r="EW23" i="1"/>
  <c r="EW5" i="1"/>
  <c r="EV6" i="1"/>
  <c r="EV7" i="1"/>
  <c r="EV8" i="1"/>
  <c r="EV9" i="1"/>
  <c r="EV10" i="1"/>
  <c r="EV11" i="1"/>
  <c r="EV12" i="1"/>
  <c r="EV13" i="1"/>
  <c r="EV14" i="1"/>
  <c r="EV15" i="1"/>
  <c r="EV16" i="1"/>
  <c r="EV17" i="1"/>
  <c r="EV18" i="1"/>
  <c r="EV19" i="1"/>
  <c r="EV20" i="1"/>
  <c r="EV21" i="1"/>
  <c r="EV22" i="1"/>
  <c r="EV23" i="1"/>
  <c r="EV5" i="1"/>
  <c r="DK6" i="1"/>
  <c r="DK7" i="1"/>
  <c r="DK8" i="1"/>
  <c r="DK9" i="1"/>
  <c r="DK10" i="1"/>
  <c r="DK11" i="1"/>
  <c r="DK12" i="1"/>
  <c r="DK13" i="1"/>
  <c r="DK14" i="1"/>
  <c r="DK15" i="1"/>
  <c r="DK16" i="1"/>
  <c r="DK17" i="1"/>
  <c r="DK18" i="1"/>
  <c r="DK19" i="1"/>
  <c r="DK20" i="1"/>
  <c r="DK21" i="1"/>
  <c r="DK22" i="1"/>
  <c r="DK23" i="1"/>
  <c r="DK5" i="1"/>
  <c r="DJ6" i="1"/>
  <c r="DJ7" i="1"/>
  <c r="DJ8" i="1"/>
  <c r="DJ9" i="1"/>
  <c r="DJ10" i="1"/>
  <c r="DJ11" i="1"/>
  <c r="DJ12" i="1"/>
  <c r="DJ13" i="1"/>
  <c r="DJ14" i="1"/>
  <c r="DJ15" i="1"/>
  <c r="DJ16" i="1"/>
  <c r="DJ17" i="1"/>
  <c r="DJ18" i="1"/>
  <c r="DJ19" i="1"/>
  <c r="DJ20" i="1"/>
  <c r="DJ21" i="1"/>
  <c r="DJ22" i="1"/>
  <c r="DJ23" i="1"/>
  <c r="DJ5" i="1"/>
  <c r="BY6" i="1"/>
  <c r="BY7" i="1"/>
  <c r="BY8" i="1"/>
  <c r="BY9" i="1"/>
  <c r="BY10" i="1"/>
  <c r="BY11" i="1"/>
  <c r="BY12" i="1"/>
  <c r="BY13" i="1"/>
  <c r="BY14" i="1"/>
  <c r="BY15" i="1"/>
  <c r="BY16" i="1"/>
  <c r="BY17" i="1"/>
  <c r="BY18" i="1"/>
  <c r="BY19" i="1"/>
  <c r="BY20" i="1"/>
  <c r="BY21" i="1"/>
  <c r="BY22" i="1"/>
  <c r="BY23" i="1"/>
  <c r="BY5" i="1"/>
  <c r="BX6" i="1"/>
  <c r="BX7" i="1"/>
  <c r="BX8" i="1"/>
  <c r="BX9" i="1"/>
  <c r="BX10" i="1"/>
  <c r="BX11" i="1"/>
  <c r="BX12" i="1"/>
  <c r="BX13" i="1"/>
  <c r="BX14" i="1"/>
  <c r="BX15" i="1"/>
  <c r="BX16" i="1"/>
  <c r="BX17" i="1"/>
  <c r="BX18" i="1"/>
  <c r="BX19" i="1"/>
  <c r="BX20" i="1"/>
  <c r="BX21" i="1"/>
  <c r="BX22" i="1"/>
  <c r="BX23" i="1"/>
  <c r="BX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5" i="1"/>
  <c r="I26" i="3"/>
  <c r="H26" i="3"/>
  <c r="G26" i="3"/>
  <c r="F26" i="3"/>
  <c r="E26" i="3"/>
  <c r="D26" i="3"/>
  <c r="C26" i="3"/>
</calcChain>
</file>

<file path=xl/sharedStrings.xml><?xml version="1.0" encoding="utf-8"?>
<sst xmlns="http://schemas.openxmlformats.org/spreadsheetml/2006/main" count="757" uniqueCount="84">
  <si>
    <t>АКМОЛИНСКАЯ</t>
  </si>
  <si>
    <t>АКТЮБИНСКАЯ</t>
  </si>
  <si>
    <t>АЛМАТИНСКАЯ</t>
  </si>
  <si>
    <t>АТЫРАУСКАЯ</t>
  </si>
  <si>
    <t>ВОСТОЧНО-КАЗАХСТАНСКАЯ</t>
  </si>
  <si>
    <t>ЖАМБЫЛСКАЯ</t>
  </si>
  <si>
    <t>ЗАПАДНО-КАЗАХСТАНСКАЯ</t>
  </si>
  <si>
    <t>КАРАГАНДИНСКАЯ</t>
  </si>
  <si>
    <t>КОСТАНАЙСКАЯ</t>
  </si>
  <si>
    <t>КЫЗЫЛОРДИНСКАЯ</t>
  </si>
  <si>
    <t>МАНГИСТАУСКАЯ</t>
  </si>
  <si>
    <t>ПАВЛОДАРСКАЯ</t>
  </si>
  <si>
    <t>СЕВЕРО-КАЗАХСТАНСКАЯ</t>
  </si>
  <si>
    <t>ТУРКЕСТАНСКАЯ</t>
  </si>
  <si>
    <t>г.АЛМАТЫ</t>
  </si>
  <si>
    <t>г.АСТАНА</t>
  </si>
  <si>
    <t>г.ШЫМКЕНТ</t>
  </si>
  <si>
    <t>АБАЙ</t>
  </si>
  <si>
    <t>ЖЕТІСУ</t>
  </si>
  <si>
    <t>ҰЛЫТАУ</t>
  </si>
  <si>
    <t>Регионы</t>
  </si>
  <si>
    <t xml:space="preserve">     Всего</t>
  </si>
  <si>
    <t xml:space="preserve">     от 0 до 14 лет включительно</t>
  </si>
  <si>
    <t xml:space="preserve"> от 15 лет до 17 лет включительно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</si>
  <si>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</si>
  <si>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</si>
  <si>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</si>
  <si>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</si>
  <si>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</si>
  <si>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</si>
  <si>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</si>
  <si>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</si>
  <si>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</si>
  <si>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</si>
  <si>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</si>
  <si>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</si>
  <si>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2019г.</t>
  </si>
  <si>
    <t>2020г.</t>
  </si>
  <si>
    <t>2021г.</t>
  </si>
  <si>
    <t>2022г.</t>
  </si>
  <si>
    <t>2023г.</t>
  </si>
  <si>
    <t>2024г.</t>
  </si>
  <si>
    <t>2025г.</t>
  </si>
  <si>
    <t>2026г.</t>
  </si>
  <si>
    <t>6 лет</t>
  </si>
  <si>
    <t>12-15 мес.</t>
  </si>
  <si>
    <t xml:space="preserve"> диагноз подтвержден в нарастании с начала 2025 года</t>
  </si>
  <si>
    <t>прививочный статус</t>
  </si>
  <si>
    <t xml:space="preserve"> диагноз подтвержден в нарастании с за 7 мес. 2026г.</t>
  </si>
  <si>
    <t>привито</t>
  </si>
  <si>
    <t>непривито</t>
  </si>
  <si>
    <t>неизвестный статус</t>
  </si>
  <si>
    <t>однократно</t>
  </si>
  <si>
    <t>двукратно</t>
  </si>
  <si>
    <t>отказ от вакцина-ции</t>
  </si>
  <si>
    <t>мед. отвод</t>
  </si>
  <si>
    <t>иные причины (упущенные)</t>
  </si>
  <si>
    <t>недостиж. возраста</t>
  </si>
  <si>
    <t>Акмолинская</t>
  </si>
  <si>
    <t xml:space="preserve">Актюбинская </t>
  </si>
  <si>
    <t xml:space="preserve">Алматинская </t>
  </si>
  <si>
    <t>Атырауская</t>
  </si>
  <si>
    <t>ВКО</t>
  </si>
  <si>
    <t>Жамбылская</t>
  </si>
  <si>
    <t>ЗКО</t>
  </si>
  <si>
    <t>Карагандинская</t>
  </si>
  <si>
    <t>Костанайская</t>
  </si>
  <si>
    <t>Кызылординская</t>
  </si>
  <si>
    <t xml:space="preserve">Мангистауская </t>
  </si>
  <si>
    <t xml:space="preserve">Павлодарская </t>
  </si>
  <si>
    <t>СКО</t>
  </si>
  <si>
    <t xml:space="preserve">Туркестанская </t>
  </si>
  <si>
    <t>г. Алматы</t>
  </si>
  <si>
    <t>г. Астана</t>
  </si>
  <si>
    <t xml:space="preserve">г.Шымкент </t>
  </si>
  <si>
    <t>Абайская</t>
  </si>
  <si>
    <t>Жетысуская</t>
  </si>
  <si>
    <t>Улытауская</t>
  </si>
  <si>
    <t>РК</t>
  </si>
  <si>
    <t>Всего</t>
  </si>
  <si>
    <t>Дети</t>
  </si>
  <si>
    <t>До 14 лет</t>
  </si>
  <si>
    <t xml:space="preserve">Дети до 14 лет </t>
  </si>
  <si>
    <t xml:space="preserve">Дети 14 лет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</si>
</sst>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Franklin Gothic Medium Cond"/>
      <family val="2"/>
      <charset val="204"/>
    </font>
    <font>
      <b/>
      <sz val="11"/>
      <color theme="1"/>
      <name val="Franklin Gothic Medium Cond"/>
      <family val="2"/>
      <charset val="204"/>
    </font>
    <font>
      <sz val="10"/>
      <name val="Arial Cyr"/>
      <family val="2"/>
      <charset val="204"/>
    </font>
    <font>
      <sz val="8"/>
      <name val="Calibri"/>
      <family val="2"/>
      <scheme val="minor"/>
    </font>
    <font>
      <sz val="10"/>
      <name val="Arial Cyr"/>
      <charset val="204"/>
    </font>
    <font>
      <b/>
      <sz val="11"/>
      <color theme="1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0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2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5" fillId="0" borderId="0"/>
    <xf numFmtId="0" fontId="7" fillId="0" borderId="0"/>
    <xf numFmtId="0" fontId="1" fillId="0" borderId="0"/>
    <xf numFmtId="0" fontId="7" fillId="0" borderId="0"/>
  </cellStyleXfs>
  <cellXfs count="42">
    <xf numFmtId="0" fontId="0" fillId="0" borderId="0" xfId="0"/>
    <xf numFmtId="0" fontId="9" fillId="2" borderId="1" xfId="0" applyFont="1" applyFill="1" applyBorder="1" applyAlignment="1">
      <alignment horizontal="center" vertical="center" wrapText="1"/>
    </xf>
    <xf numFmtId="0" fontId="11" fillId="0" borderId="1" xfId="0" applyFont="1" applyBorder="1"/>
    <xf numFmtId="0" fontId="12" fillId="0" borderId="1" xfId="0" applyFont="1" applyBorder="1" applyAlignment="1">
      <alignment horizontal="center" vertical="center"/>
    </xf>
    <xf numFmtId="3" fontId="13" fillId="2" borderId="1" xfId="0" applyNumberFormat="1" applyFont="1" applyFill="1" applyBorder="1" applyAlignment="1">
      <alignment horizontal="center" vertical="center"/>
    </xf>
    <xf numFmtId="3" fontId="13" fillId="0" borderId="1" xfId="0" applyNumberFormat="1" applyFont="1" applyBorder="1" applyAlignment="1">
      <alignment horizontal="center" vertical="center" wrapText="1"/>
    </xf>
    <xf numFmtId="3" fontId="13" fillId="0" borderId="1" xfId="0" applyNumberFormat="1" applyFont="1" applyBorder="1" applyAlignment="1">
      <alignment horizontal="center" vertical="center"/>
    </xf>
    <xf numFmtId="3" fontId="13" fillId="2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/>
    <xf numFmtId="0" fontId="14" fillId="0" borderId="1" xfId="0" applyFont="1" applyBorder="1" applyAlignment="1">
      <alignment horizontal="center" vertical="center"/>
    </xf>
    <xf numFmtId="3" fontId="15" fillId="2" borderId="1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/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 wrapText="1"/>
    </xf>
    <xf numFmtId="0" fontId="8" fillId="0" borderId="3" xfId="0" applyFont="1" applyBorder="1" applyAlignment="1">
      <alignment horizontal="center" wrapText="1"/>
    </xf>
    <xf numFmtId="0" fontId="8" fillId="0" borderId="7" xfId="0" applyFont="1" applyBorder="1" applyAlignment="1">
      <alignment horizontal="center" wrapText="1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/>
    </xf>
    <xf numFmtId="0" fontId="3" fillId="0" borderId="0" xfId="0" applyFont="1" applyFill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/>
    </xf>
    <xf numFmtId="0" fontId="3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 vertical="center"/>
    </xf>
    <xf numFmtId="0" fontId="3" fillId="0" borderId="1" xfId="0" applyFont="1" applyFill="1" applyBorder="1"/>
    <xf numFmtId="0" fontId="3" fillId="0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 wrapText="1"/>
    </xf>
    <xf numFmtId="164" fontId="3" fillId="0" borderId="1" xfId="0" applyNumberFormat="1" applyFont="1" applyFill="1" applyBorder="1" applyAlignment="1">
      <alignment horizontal="center"/>
    </xf>
    <xf numFmtId="164" fontId="3" fillId="0" borderId="1" xfId="0" applyNumberFormat="1" applyFont="1" applyFill="1" applyBorder="1" applyAlignment="1">
      <alignment horizontal="center" vertical="center"/>
    </xf>
  </cellXfs>
  <cellStyles count="6">
    <cellStyle name="Excel Built-in Normal" xfId="2" xr:uid="{3D68AD21-2202-4516-BB6F-81AB7A059C01}"/>
    <cellStyle name="Обычный" xfId="0" builtinId="0"/>
    <cellStyle name="Обычный 2" xfId="1" xr:uid="{FD9F6454-799C-4BBB-9120-972E28A93AB0}"/>
    <cellStyle name="Обычный 2 2" xfId="4" xr:uid="{FA09CDEC-D97F-4619-B1A6-DABF3F7C80FD}"/>
    <cellStyle name="Обычный 2 2 2" xfId="5" xr:uid="{F1195BAF-85EF-4E24-8C99-6F451525663A}"/>
    <cellStyle name="Обычный 3" xfId="3" xr:uid="{65657B77-1906-4E06-98C5-19AF52CC18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D23"/>
  <sheetViews>
    <sheetView zoomScale="64" zoomScaleNormal="64" workbookViewId="0">
      <pane xSplit="1" topLeftCell="B1" activePane="topRight" state="frozen"/>
      <selection pane="topRight" activeCell="D40" sqref="D40"/>
    </sheetView>
  </sheetViews>
  <sheetFormatPr defaultColWidth="9.140625" defaultRowHeight="15.75" x14ac:dyDescent="0.3"/>
  <cols>
    <col min="1" max="1" width="41.85546875" style="27" customWidth="1"/>
    <col min="2" max="4" width="9.140625" style="35"/>
    <col min="5" max="288" width="9.140625" style="27"/>
    <col min="289" max="290" width="9.140625" style="34"/>
    <col min="291" max="16384" width="9.140625" style="27"/>
  </cols>
  <sheetData>
    <row r="1" spans="1:290" x14ac:dyDescent="0.3">
      <c r="A1" s="23" t="s">
        <v>20</v>
      </c>
      <c r="B1" s="24" t="s">
        <v>36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5"/>
      <c r="AM1" s="25"/>
      <c r="AN1" s="24" t="s">
        <v>37</v>
      </c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5"/>
      <c r="BY1" s="25"/>
      <c r="BZ1" s="24" t="s">
        <v>38</v>
      </c>
      <c r="CA1" s="24"/>
      <c r="CB1" s="24"/>
      <c r="CC1" s="24"/>
      <c r="CD1" s="24"/>
      <c r="CE1" s="24"/>
      <c r="CF1" s="24"/>
      <c r="CG1" s="24"/>
      <c r="CH1" s="24"/>
      <c r="CI1" s="24"/>
      <c r="CJ1" s="24"/>
      <c r="CK1" s="24"/>
      <c r="CL1" s="24"/>
      <c r="CM1" s="24"/>
      <c r="CN1" s="24"/>
      <c r="CO1" s="24"/>
      <c r="CP1" s="24"/>
      <c r="CQ1" s="24"/>
      <c r="CR1" s="24"/>
      <c r="CS1" s="24"/>
      <c r="CT1" s="24"/>
      <c r="CU1" s="24"/>
      <c r="CV1" s="24"/>
      <c r="CW1" s="24"/>
      <c r="CX1" s="24"/>
      <c r="CY1" s="24"/>
      <c r="CZ1" s="24"/>
      <c r="DA1" s="24"/>
      <c r="DB1" s="24"/>
      <c r="DC1" s="24"/>
      <c r="DD1" s="24"/>
      <c r="DE1" s="24"/>
      <c r="DF1" s="24"/>
      <c r="DG1" s="24"/>
      <c r="DH1" s="24"/>
      <c r="DI1" s="24"/>
      <c r="DJ1" s="25"/>
      <c r="DK1" s="25"/>
      <c r="DL1" s="24" t="s">
        <v>39</v>
      </c>
      <c r="DM1" s="24"/>
      <c r="DN1" s="24"/>
      <c r="DO1" s="24"/>
      <c r="DP1" s="24"/>
      <c r="DQ1" s="24"/>
      <c r="DR1" s="24"/>
      <c r="DS1" s="24"/>
      <c r="DT1" s="24"/>
      <c r="DU1" s="24"/>
      <c r="DV1" s="24"/>
      <c r="DW1" s="24"/>
      <c r="DX1" s="24"/>
      <c r="DY1" s="24"/>
      <c r="DZ1" s="24"/>
      <c r="EA1" s="24"/>
      <c r="EB1" s="24"/>
      <c r="EC1" s="24"/>
      <c r="ED1" s="24"/>
      <c r="EE1" s="24"/>
      <c r="EF1" s="24"/>
      <c r="EG1" s="24"/>
      <c r="EH1" s="24"/>
      <c r="EI1" s="24"/>
      <c r="EJ1" s="24"/>
      <c r="EK1" s="24"/>
      <c r="EL1" s="24"/>
      <c r="EM1" s="24"/>
      <c r="EN1" s="24"/>
      <c r="EO1" s="24"/>
      <c r="EP1" s="24"/>
      <c r="EQ1" s="24"/>
      <c r="ER1" s="24"/>
      <c r="ES1" s="24"/>
      <c r="ET1" s="24"/>
      <c r="EU1" s="24"/>
      <c r="EV1" s="25"/>
      <c r="EW1" s="25"/>
      <c r="EX1" s="24" t="s">
        <v>40</v>
      </c>
      <c r="EY1" s="24"/>
      <c r="EZ1" s="24"/>
      <c r="FA1" s="24"/>
      <c r="FB1" s="24"/>
      <c r="FC1" s="24"/>
      <c r="FD1" s="24"/>
      <c r="FE1" s="24"/>
      <c r="FF1" s="24"/>
      <c r="FG1" s="24"/>
      <c r="FH1" s="24"/>
      <c r="FI1" s="24"/>
      <c r="FJ1" s="24"/>
      <c r="FK1" s="24"/>
      <c r="FL1" s="24"/>
      <c r="FM1" s="24"/>
      <c r="FN1" s="24"/>
      <c r="FO1" s="24"/>
      <c r="FP1" s="24"/>
      <c r="FQ1" s="24"/>
      <c r="FR1" s="24"/>
      <c r="FS1" s="24"/>
      <c r="FT1" s="24"/>
      <c r="FU1" s="24"/>
      <c r="FV1" s="24"/>
      <c r="FW1" s="24"/>
      <c r="FX1" s="24"/>
      <c r="FY1" s="24"/>
      <c r="FZ1" s="24"/>
      <c r="GA1" s="24"/>
      <c r="GB1" s="24"/>
      <c r="GC1" s="24"/>
      <c r="GD1" s="24"/>
      <c r="GE1" s="24"/>
      <c r="GF1" s="24"/>
      <c r="GG1" s="24"/>
      <c r="GH1" s="25"/>
      <c r="GI1" s="25"/>
      <c r="GJ1" s="24" t="s">
        <v>41</v>
      </c>
      <c r="GK1" s="24"/>
      <c r="GL1" s="24"/>
      <c r="GM1" s="24"/>
      <c r="GN1" s="24"/>
      <c r="GO1" s="24"/>
      <c r="GP1" s="24"/>
      <c r="GQ1" s="24"/>
      <c r="GR1" s="24"/>
      <c r="GS1" s="24"/>
      <c r="GT1" s="24"/>
      <c r="GU1" s="24"/>
      <c r="GV1" s="24"/>
      <c r="GW1" s="24"/>
      <c r="GX1" s="24"/>
      <c r="GY1" s="24"/>
      <c r="GZ1" s="24"/>
      <c r="HA1" s="24"/>
      <c r="HB1" s="24"/>
      <c r="HC1" s="24"/>
      <c r="HD1" s="24"/>
      <c r="HE1" s="24"/>
      <c r="HF1" s="24"/>
      <c r="HG1" s="24"/>
      <c r="HH1" s="24"/>
      <c r="HI1" s="24"/>
      <c r="HJ1" s="24"/>
      <c r="HK1" s="24"/>
      <c r="HL1" s="24"/>
      <c r="HM1" s="24"/>
      <c r="HN1" s="24"/>
      <c r="HO1" s="24"/>
      <c r="HP1" s="24"/>
      <c r="HQ1" s="24"/>
      <c r="HR1" s="24"/>
      <c r="HS1" s="24"/>
      <c r="HT1" s="25"/>
      <c r="HU1" s="25"/>
      <c r="HV1" s="24" t="s">
        <v>42</v>
      </c>
      <c r="HW1" s="24"/>
      <c r="HX1" s="24"/>
      <c r="HY1" s="24"/>
      <c r="HZ1" s="24"/>
      <c r="IA1" s="24"/>
      <c r="IB1" s="24"/>
      <c r="IC1" s="24"/>
      <c r="ID1" s="24"/>
      <c r="IE1" s="24"/>
      <c r="IF1" s="24"/>
      <c r="IG1" s="24"/>
      <c r="IH1" s="24"/>
      <c r="II1" s="24"/>
      <c r="IJ1" s="24"/>
      <c r="IK1" s="24"/>
      <c r="IL1" s="24"/>
      <c r="IM1" s="24"/>
      <c r="IN1" s="24"/>
      <c r="IO1" s="24"/>
      <c r="IP1" s="24"/>
      <c r="IQ1" s="24"/>
      <c r="IR1" s="24"/>
      <c r="IS1" s="24"/>
      <c r="IT1" s="24"/>
      <c r="IU1" s="24"/>
      <c r="IV1" s="24"/>
      <c r="IW1" s="24"/>
      <c r="IX1" s="24"/>
      <c r="IY1" s="24"/>
      <c r="IZ1" s="24"/>
      <c r="JA1" s="24"/>
      <c r="JB1" s="24"/>
      <c r="JC1" s="24"/>
      <c r="JD1" s="24"/>
      <c r="JE1" s="24"/>
      <c r="JF1" s="25"/>
      <c r="JG1" s="25"/>
      <c r="JH1" s="24" t="s">
        <v>43</v>
      </c>
      <c r="JI1" s="24"/>
      <c r="JJ1" s="24"/>
      <c r="JK1" s="24"/>
      <c r="JL1" s="24"/>
      <c r="JM1" s="24"/>
      <c r="JN1" s="24"/>
      <c r="JO1" s="24"/>
      <c r="JP1" s="24"/>
      <c r="JQ1" s="24"/>
      <c r="JR1" s="24"/>
      <c r="JS1" s="24"/>
      <c r="JT1" s="24"/>
      <c r="JU1" s="24"/>
      <c r="JV1" s="24"/>
      <c r="JW1" s="24"/>
      <c r="JX1" s="24"/>
      <c r="JY1" s="24"/>
      <c r="JZ1" s="24"/>
      <c r="KA1" s="24"/>
      <c r="KB1" s="24"/>
      <c r="KC1" s="26"/>
      <c r="KD1" s="26"/>
    </row>
    <row r="2" spans="1:290" x14ac:dyDescent="0.3">
      <c r="A2" s="23"/>
      <c r="B2" s="24" t="s">
        <v>24</v>
      </c>
      <c r="C2" s="24"/>
      <c r="D2" s="24"/>
      <c r="E2" s="24" t="s">
        <v>25</v>
      </c>
      <c r="F2" s="24"/>
      <c r="G2" s="24"/>
      <c r="H2" s="24" t="s">
        <v>26</v>
      </c>
      <c r="I2" s="24"/>
      <c r="J2" s="24"/>
      <c r="K2" s="24" t="s">
        <v>27</v>
      </c>
      <c r="L2" s="24"/>
      <c r="M2" s="24"/>
      <c r="N2" s="24" t="s">
        <v>28</v>
      </c>
      <c r="O2" s="24"/>
      <c r="P2" s="24"/>
      <c r="Q2" s="24" t="s">
        <v>29</v>
      </c>
      <c r="R2" s="24"/>
      <c r="S2" s="24"/>
      <c r="T2" s="24" t="s">
        <v>30</v>
      </c>
      <c r="U2" s="24"/>
      <c r="V2" s="24"/>
      <c r="W2" s="24" t="s">
        <v>31</v>
      </c>
      <c r="X2" s="24"/>
      <c r="Y2" s="24"/>
      <c r="Z2" s="24" t="s">
        <v>32</v>
      </c>
      <c r="AA2" s="24"/>
      <c r="AB2" s="24"/>
      <c r="AC2" s="24" t="s">
        <v>33</v>
      </c>
      <c r="AD2" s="24"/>
      <c r="AE2" s="24"/>
      <c r="AF2" s="24" t="s">
        <v>34</v>
      </c>
      <c r="AG2" s="24"/>
      <c r="AH2" s="24"/>
      <c r="AI2" s="24" t="s">
        <v>35</v>
      </c>
      <c r="AJ2" s="24"/>
      <c r="AK2" s="24"/>
      <c r="AL2" s="28" t="s">
        <v>79</v>
      </c>
      <c r="AM2" s="28" t="s">
        <v>80</v>
      </c>
      <c r="AN2" s="24" t="s">
        <v>24</v>
      </c>
      <c r="AO2" s="24"/>
      <c r="AP2" s="24"/>
      <c r="AQ2" s="24" t="s">
        <v>25</v>
      </c>
      <c r="AR2" s="24"/>
      <c r="AS2" s="24"/>
      <c r="AT2" s="24" t="s">
        <v>26</v>
      </c>
      <c r="AU2" s="24"/>
      <c r="AV2" s="24"/>
      <c r="AW2" s="24" t="s">
        <v>27</v>
      </c>
      <c r="AX2" s="24"/>
      <c r="AY2" s="24"/>
      <c r="AZ2" s="24" t="s">
        <v>28</v>
      </c>
      <c r="BA2" s="24"/>
      <c r="BB2" s="24"/>
      <c r="BC2" s="24" t="s">
        <v>29</v>
      </c>
      <c r="BD2" s="24"/>
      <c r="BE2" s="24"/>
      <c r="BF2" s="24" t="s">
        <v>30</v>
      </c>
      <c r="BG2" s="24"/>
      <c r="BH2" s="24"/>
      <c r="BI2" s="24" t="s">
        <v>31</v>
      </c>
      <c r="BJ2" s="24"/>
      <c r="BK2" s="24"/>
      <c r="BL2" s="24" t="s">
        <v>32</v>
      </c>
      <c r="BM2" s="24"/>
      <c r="BN2" s="24"/>
      <c r="BO2" s="24" t="s">
        <v>33</v>
      </c>
      <c r="BP2" s="24"/>
      <c r="BQ2" s="24"/>
      <c r="BR2" s="24" t="s">
        <v>34</v>
      </c>
      <c r="BS2" s="24"/>
      <c r="BT2" s="24"/>
      <c r="BU2" s="24" t="s">
        <v>35</v>
      </c>
      <c r="BV2" s="24"/>
      <c r="BW2" s="24"/>
      <c r="BX2" s="28" t="s">
        <v>79</v>
      </c>
      <c r="BY2" s="28" t="s">
        <v>81</v>
      </c>
      <c r="BZ2" s="24" t="s">
        <v>24</v>
      </c>
      <c r="CA2" s="24"/>
      <c r="CB2" s="24"/>
      <c r="CC2" s="24" t="s">
        <v>25</v>
      </c>
      <c r="CD2" s="24"/>
      <c r="CE2" s="24"/>
      <c r="CF2" s="24" t="s">
        <v>26</v>
      </c>
      <c r="CG2" s="24"/>
      <c r="CH2" s="24"/>
      <c r="CI2" s="24" t="s">
        <v>27</v>
      </c>
      <c r="CJ2" s="24"/>
      <c r="CK2" s="24"/>
      <c r="CL2" s="24" t="s">
        <v>28</v>
      </c>
      <c r="CM2" s="24"/>
      <c r="CN2" s="24"/>
      <c r="CO2" s="24" t="s">
        <v>29</v>
      </c>
      <c r="CP2" s="24"/>
      <c r="CQ2" s="24"/>
      <c r="CR2" s="24" t="s">
        <v>30</v>
      </c>
      <c r="CS2" s="24"/>
      <c r="CT2" s="24"/>
      <c r="CU2" s="24" t="s">
        <v>31</v>
      </c>
      <c r="CV2" s="24"/>
      <c r="CW2" s="24"/>
      <c r="CX2" s="24" t="s">
        <v>32</v>
      </c>
      <c r="CY2" s="24"/>
      <c r="CZ2" s="24"/>
      <c r="DA2" s="24" t="s">
        <v>33</v>
      </c>
      <c r="DB2" s="24"/>
      <c r="DC2" s="24"/>
      <c r="DD2" s="24" t="s">
        <v>34</v>
      </c>
      <c r="DE2" s="24"/>
      <c r="DF2" s="24"/>
      <c r="DG2" s="24" t="s">
        <v>35</v>
      </c>
      <c r="DH2" s="24"/>
      <c r="DI2" s="24"/>
      <c r="DJ2" s="28" t="s">
        <v>79</v>
      </c>
      <c r="DK2" s="28" t="s">
        <v>80</v>
      </c>
      <c r="DL2" s="24" t="s">
        <v>24</v>
      </c>
      <c r="DM2" s="24"/>
      <c r="DN2" s="24"/>
      <c r="DO2" s="24" t="s">
        <v>25</v>
      </c>
      <c r="DP2" s="24"/>
      <c r="DQ2" s="24"/>
      <c r="DR2" s="24" t="s">
        <v>26</v>
      </c>
      <c r="DS2" s="24"/>
      <c r="DT2" s="24"/>
      <c r="DU2" s="24" t="s">
        <v>27</v>
      </c>
      <c r="DV2" s="24"/>
      <c r="DW2" s="24"/>
      <c r="DX2" s="24" t="s">
        <v>28</v>
      </c>
      <c r="DY2" s="24"/>
      <c r="DZ2" s="24"/>
      <c r="EA2" s="24" t="s">
        <v>29</v>
      </c>
      <c r="EB2" s="24"/>
      <c r="EC2" s="24"/>
      <c r="ED2" s="24" t="s">
        <v>30</v>
      </c>
      <c r="EE2" s="24"/>
      <c r="EF2" s="24"/>
      <c r="EG2" s="24" t="s">
        <v>31</v>
      </c>
      <c r="EH2" s="24"/>
      <c r="EI2" s="24"/>
      <c r="EJ2" s="24" t="s">
        <v>32</v>
      </c>
      <c r="EK2" s="24"/>
      <c r="EL2" s="24"/>
      <c r="EM2" s="24" t="s">
        <v>33</v>
      </c>
      <c r="EN2" s="24"/>
      <c r="EO2" s="24"/>
      <c r="EP2" s="24" t="s">
        <v>34</v>
      </c>
      <c r="EQ2" s="24"/>
      <c r="ER2" s="24"/>
      <c r="ES2" s="24" t="s">
        <v>35</v>
      </c>
      <c r="ET2" s="24"/>
      <c r="EU2" s="24"/>
      <c r="EV2" s="28" t="s">
        <v>79</v>
      </c>
      <c r="EW2" s="29" t="s">
        <v>82</v>
      </c>
      <c r="EX2" s="24" t="s">
        <v>24</v>
      </c>
      <c r="EY2" s="24"/>
      <c r="EZ2" s="24"/>
      <c r="FA2" s="24" t="s">
        <v>25</v>
      </c>
      <c r="FB2" s="24"/>
      <c r="FC2" s="24"/>
      <c r="FD2" s="24" t="s">
        <v>26</v>
      </c>
      <c r="FE2" s="24"/>
      <c r="FF2" s="24"/>
      <c r="FG2" s="24" t="s">
        <v>27</v>
      </c>
      <c r="FH2" s="24"/>
      <c r="FI2" s="24"/>
      <c r="FJ2" s="24" t="s">
        <v>28</v>
      </c>
      <c r="FK2" s="24"/>
      <c r="FL2" s="24"/>
      <c r="FM2" s="24" t="s">
        <v>29</v>
      </c>
      <c r="FN2" s="24"/>
      <c r="FO2" s="24"/>
      <c r="FP2" s="24" t="s">
        <v>30</v>
      </c>
      <c r="FQ2" s="24"/>
      <c r="FR2" s="24"/>
      <c r="FS2" s="24" t="s">
        <v>31</v>
      </c>
      <c r="FT2" s="24"/>
      <c r="FU2" s="24"/>
      <c r="FV2" s="24" t="s">
        <v>32</v>
      </c>
      <c r="FW2" s="24"/>
      <c r="FX2" s="24"/>
      <c r="FY2" s="24" t="s">
        <v>33</v>
      </c>
      <c r="FZ2" s="24"/>
      <c r="GA2" s="24"/>
      <c r="GB2" s="24" t="s">
        <v>34</v>
      </c>
      <c r="GC2" s="24"/>
      <c r="GD2" s="24"/>
      <c r="GE2" s="24" t="s">
        <v>35</v>
      </c>
      <c r="GF2" s="24"/>
      <c r="GG2" s="24"/>
      <c r="GH2" s="28" t="s">
        <v>79</v>
      </c>
      <c r="GI2" s="28" t="s">
        <v>80</v>
      </c>
      <c r="GJ2" s="24" t="s">
        <v>24</v>
      </c>
      <c r="GK2" s="24"/>
      <c r="GL2" s="24"/>
      <c r="GM2" s="24" t="s">
        <v>25</v>
      </c>
      <c r="GN2" s="24"/>
      <c r="GO2" s="24"/>
      <c r="GP2" s="24" t="s">
        <v>26</v>
      </c>
      <c r="GQ2" s="24"/>
      <c r="GR2" s="24"/>
      <c r="GS2" s="24" t="s">
        <v>27</v>
      </c>
      <c r="GT2" s="24"/>
      <c r="GU2" s="24"/>
      <c r="GV2" s="24" t="s">
        <v>28</v>
      </c>
      <c r="GW2" s="24"/>
      <c r="GX2" s="24"/>
      <c r="GY2" s="24" t="s">
        <v>29</v>
      </c>
      <c r="GZ2" s="24"/>
      <c r="HA2" s="24"/>
      <c r="HB2" s="24" t="s">
        <v>30</v>
      </c>
      <c r="HC2" s="24"/>
      <c r="HD2" s="24"/>
      <c r="HE2" s="24" t="s">
        <v>31</v>
      </c>
      <c r="HF2" s="24"/>
      <c r="HG2" s="24"/>
      <c r="HH2" s="24" t="s">
        <v>32</v>
      </c>
      <c r="HI2" s="24"/>
      <c r="HJ2" s="24"/>
      <c r="HK2" s="24" t="s">
        <v>33</v>
      </c>
      <c r="HL2" s="24"/>
      <c r="HM2" s="24"/>
      <c r="HN2" s="24" t="s">
        <v>34</v>
      </c>
      <c r="HO2" s="24"/>
      <c r="HP2" s="24"/>
      <c r="HQ2" s="24" t="s">
        <v>35</v>
      </c>
      <c r="HR2" s="24"/>
      <c r="HS2" s="24"/>
      <c r="HT2" s="28" t="s">
        <v>79</v>
      </c>
      <c r="HU2" s="28" t="s">
        <v>80</v>
      </c>
      <c r="HV2" s="24" t="s">
        <v>24</v>
      </c>
      <c r="HW2" s="24"/>
      <c r="HX2" s="24"/>
      <c r="HY2" s="24" t="s">
        <v>25</v>
      </c>
      <c r="HZ2" s="24"/>
      <c r="IA2" s="24"/>
      <c r="IB2" s="24" t="s">
        <v>26</v>
      </c>
      <c r="IC2" s="24"/>
      <c r="ID2" s="24"/>
      <c r="IE2" s="24" t="s">
        <v>27</v>
      </c>
      <c r="IF2" s="24"/>
      <c r="IG2" s="24"/>
      <c r="IH2" s="24" t="s">
        <v>28</v>
      </c>
      <c r="II2" s="24"/>
      <c r="IJ2" s="24"/>
      <c r="IK2" s="24" t="s">
        <v>29</v>
      </c>
      <c r="IL2" s="24"/>
      <c r="IM2" s="24"/>
      <c r="IN2" s="24" t="s">
        <v>30</v>
      </c>
      <c r="IO2" s="24"/>
      <c r="IP2" s="24"/>
      <c r="IQ2" s="24" t="s">
        <v>31</v>
      </c>
      <c r="IR2" s="24"/>
      <c r="IS2" s="24"/>
      <c r="IT2" s="24" t="s">
        <v>32</v>
      </c>
      <c r="IU2" s="24"/>
      <c r="IV2" s="24"/>
      <c r="IW2" s="24" t="s">
        <v>33</v>
      </c>
      <c r="IX2" s="24"/>
      <c r="IY2" s="24"/>
      <c r="IZ2" s="24" t="s">
        <v>34</v>
      </c>
      <c r="JA2" s="24"/>
      <c r="JB2" s="24"/>
      <c r="JC2" s="24" t="s">
        <v>35</v>
      </c>
      <c r="JD2" s="24"/>
      <c r="JE2" s="24"/>
      <c r="JF2" s="28" t="s">
        <v>79</v>
      </c>
      <c r="JG2" s="29" t="s">
        <v>83</v>
      </c>
      <c r="JH2" s="24" t="s">
        <v>24</v>
      </c>
      <c r="JI2" s="24"/>
      <c r="JJ2" s="24"/>
      <c r="JK2" s="24" t="s">
        <v>25</v>
      </c>
      <c r="JL2" s="24"/>
      <c r="JM2" s="24"/>
      <c r="JN2" s="24" t="s">
        <v>26</v>
      </c>
      <c r="JO2" s="24"/>
      <c r="JP2" s="24"/>
      <c r="JQ2" s="24" t="s">
        <v>27</v>
      </c>
      <c r="JR2" s="24"/>
      <c r="JS2" s="24"/>
      <c r="JT2" s="24" t="s">
        <v>28</v>
      </c>
      <c r="JU2" s="24"/>
      <c r="JV2" s="24"/>
      <c r="JW2" s="24" t="s">
        <v>29</v>
      </c>
      <c r="JX2" s="24"/>
      <c r="JY2" s="24"/>
      <c r="JZ2" s="24" t="s">
        <v>30</v>
      </c>
      <c r="KA2" s="24"/>
      <c r="KB2" s="24"/>
      <c r="KC2" s="28" t="s">
        <v>79</v>
      </c>
      <c r="KD2" s="29" t="s">
        <v>82</v>
      </c>
    </row>
    <row r="3" spans="1:290" ht="63" x14ac:dyDescent="0.3">
      <c r="A3" s="23"/>
      <c r="B3" s="30" t="s">
        <v>21</v>
      </c>
      <c r="C3" s="30" t="s">
        <v>22</v>
      </c>
      <c r="D3" s="30" t="s">
        <v>23</v>
      </c>
      <c r="E3" s="30" t="s">
        <v>21</v>
      </c>
      <c r="F3" s="30" t="s">
        <v>22</v>
      </c>
      <c r="G3" s="30" t="s">
        <v>23</v>
      </c>
      <c r="H3" s="30" t="s">
        <v>21</v>
      </c>
      <c r="I3" s="30" t="s">
        <v>22</v>
      </c>
      <c r="J3" s="30" t="s">
        <v>23</v>
      </c>
      <c r="K3" s="30" t="s">
        <v>21</v>
      </c>
      <c r="L3" s="30" t="s">
        <v>22</v>
      </c>
      <c r="M3" s="30" t="s">
        <v>23</v>
      </c>
      <c r="N3" s="30" t="s">
        <v>21</v>
      </c>
      <c r="O3" s="30" t="s">
        <v>22</v>
      </c>
      <c r="P3" s="30" t="s">
        <v>23</v>
      </c>
      <c r="Q3" s="30" t="s">
        <v>21</v>
      </c>
      <c r="R3" s="30" t="s">
        <v>22</v>
      </c>
      <c r="S3" s="30" t="s">
        <v>23</v>
      </c>
      <c r="T3" s="30" t="s">
        <v>21</v>
      </c>
      <c r="U3" s="30" t="s">
        <v>22</v>
      </c>
      <c r="V3" s="30" t="s">
        <v>23</v>
      </c>
      <c r="W3" s="30" t="s">
        <v>21</v>
      </c>
      <c r="X3" s="30" t="s">
        <v>22</v>
      </c>
      <c r="Y3" s="30" t="s">
        <v>23</v>
      </c>
      <c r="Z3" s="30" t="s">
        <v>21</v>
      </c>
      <c r="AA3" s="30" t="s">
        <v>22</v>
      </c>
      <c r="AB3" s="30" t="s">
        <v>23</v>
      </c>
      <c r="AC3" s="30" t="s">
        <v>21</v>
      </c>
      <c r="AD3" s="30" t="s">
        <v>22</v>
      </c>
      <c r="AE3" s="30" t="s">
        <v>23</v>
      </c>
      <c r="AF3" s="30" t="s">
        <v>21</v>
      </c>
      <c r="AG3" s="30" t="s">
        <v>22</v>
      </c>
      <c r="AH3" s="30" t="s">
        <v>23</v>
      </c>
      <c r="AI3" s="30" t="s">
        <v>21</v>
      </c>
      <c r="AJ3" s="30" t="s">
        <v>22</v>
      </c>
      <c r="AK3" s="30" t="s">
        <v>23</v>
      </c>
      <c r="AL3" s="31"/>
      <c r="AM3" s="31"/>
      <c r="AN3" s="30" t="s">
        <v>21</v>
      </c>
      <c r="AO3" s="30" t="s">
        <v>22</v>
      </c>
      <c r="AP3" s="30" t="s">
        <v>23</v>
      </c>
      <c r="AQ3" s="30" t="s">
        <v>21</v>
      </c>
      <c r="AR3" s="30" t="s">
        <v>22</v>
      </c>
      <c r="AS3" s="30" t="s">
        <v>23</v>
      </c>
      <c r="AT3" s="30" t="s">
        <v>21</v>
      </c>
      <c r="AU3" s="30" t="s">
        <v>22</v>
      </c>
      <c r="AV3" s="30" t="s">
        <v>23</v>
      </c>
      <c r="AW3" s="30" t="s">
        <v>21</v>
      </c>
      <c r="AX3" s="30" t="s">
        <v>22</v>
      </c>
      <c r="AY3" s="30" t="s">
        <v>23</v>
      </c>
      <c r="AZ3" s="30" t="s">
        <v>21</v>
      </c>
      <c r="BA3" s="30" t="s">
        <v>22</v>
      </c>
      <c r="BB3" s="30" t="s">
        <v>23</v>
      </c>
      <c r="BC3" s="30" t="s">
        <v>21</v>
      </c>
      <c r="BD3" s="30" t="s">
        <v>22</v>
      </c>
      <c r="BE3" s="30" t="s">
        <v>23</v>
      </c>
      <c r="BF3" s="30" t="s">
        <v>21</v>
      </c>
      <c r="BG3" s="30" t="s">
        <v>22</v>
      </c>
      <c r="BH3" s="30" t="s">
        <v>23</v>
      </c>
      <c r="BI3" s="30" t="s">
        <v>21</v>
      </c>
      <c r="BJ3" s="30" t="s">
        <v>22</v>
      </c>
      <c r="BK3" s="30" t="s">
        <v>23</v>
      </c>
      <c r="BL3" s="30" t="s">
        <v>21</v>
      </c>
      <c r="BM3" s="30" t="s">
        <v>22</v>
      </c>
      <c r="BN3" s="30" t="s">
        <v>23</v>
      </c>
      <c r="BO3" s="30" t="s">
        <v>21</v>
      </c>
      <c r="BP3" s="30" t="s">
        <v>22</v>
      </c>
      <c r="BQ3" s="30" t="s">
        <v>23</v>
      </c>
      <c r="BR3" s="30" t="s">
        <v>21</v>
      </c>
      <c r="BS3" s="30" t="s">
        <v>22</v>
      </c>
      <c r="BT3" s="30" t="s">
        <v>23</v>
      </c>
      <c r="BU3" s="30" t="s">
        <v>21</v>
      </c>
      <c r="BV3" s="30" t="s">
        <v>22</v>
      </c>
      <c r="BW3" s="30" t="s">
        <v>23</v>
      </c>
      <c r="BX3" s="31"/>
      <c r="BY3" s="31"/>
      <c r="BZ3" s="30" t="s">
        <v>21</v>
      </c>
      <c r="CA3" s="30" t="s">
        <v>22</v>
      </c>
      <c r="CB3" s="30" t="s">
        <v>23</v>
      </c>
      <c r="CC3" s="30" t="s">
        <v>21</v>
      </c>
      <c r="CD3" s="30" t="s">
        <v>22</v>
      </c>
      <c r="CE3" s="30" t="s">
        <v>23</v>
      </c>
      <c r="CF3" s="30" t="s">
        <v>21</v>
      </c>
      <c r="CG3" s="30" t="s">
        <v>22</v>
      </c>
      <c r="CH3" s="30" t="s">
        <v>23</v>
      </c>
      <c r="CI3" s="30" t="s">
        <v>21</v>
      </c>
      <c r="CJ3" s="30" t="s">
        <v>22</v>
      </c>
      <c r="CK3" s="30" t="s">
        <v>23</v>
      </c>
      <c r="CL3" s="30" t="s">
        <v>21</v>
      </c>
      <c r="CM3" s="30" t="s">
        <v>22</v>
      </c>
      <c r="CN3" s="30" t="s">
        <v>23</v>
      </c>
      <c r="CO3" s="30" t="s">
        <v>21</v>
      </c>
      <c r="CP3" s="30" t="s">
        <v>22</v>
      </c>
      <c r="CQ3" s="30" t="s">
        <v>23</v>
      </c>
      <c r="CR3" s="30" t="s">
        <v>21</v>
      </c>
      <c r="CS3" s="30" t="s">
        <v>22</v>
      </c>
      <c r="CT3" s="30" t="s">
        <v>23</v>
      </c>
      <c r="CU3" s="30" t="s">
        <v>21</v>
      </c>
      <c r="CV3" s="30" t="s">
        <v>22</v>
      </c>
      <c r="CW3" s="30" t="s">
        <v>23</v>
      </c>
      <c r="CX3" s="30" t="s">
        <v>21</v>
      </c>
      <c r="CY3" s="30" t="s">
        <v>22</v>
      </c>
      <c r="CZ3" s="30" t="s">
        <v>23</v>
      </c>
      <c r="DA3" s="30" t="s">
        <v>21</v>
      </c>
      <c r="DB3" s="30" t="s">
        <v>22</v>
      </c>
      <c r="DC3" s="30" t="s">
        <v>23</v>
      </c>
      <c r="DD3" s="30" t="s">
        <v>21</v>
      </c>
      <c r="DE3" s="30" t="s">
        <v>22</v>
      </c>
      <c r="DF3" s="30" t="s">
        <v>23</v>
      </c>
      <c r="DG3" s="30" t="s">
        <v>21</v>
      </c>
      <c r="DH3" s="30" t="s">
        <v>22</v>
      </c>
      <c r="DI3" s="30" t="s">
        <v>23</v>
      </c>
      <c r="DJ3" s="31"/>
      <c r="DK3" s="31"/>
      <c r="DL3" s="30" t="s">
        <v>21</v>
      </c>
      <c r="DM3" s="30" t="s">
        <v>22</v>
      </c>
      <c r="DN3" s="30" t="s">
        <v>23</v>
      </c>
      <c r="DO3" s="30" t="s">
        <v>21</v>
      </c>
      <c r="DP3" s="30" t="s">
        <v>22</v>
      </c>
      <c r="DQ3" s="30" t="s">
        <v>23</v>
      </c>
      <c r="DR3" s="30" t="s">
        <v>21</v>
      </c>
      <c r="DS3" s="30" t="s">
        <v>22</v>
      </c>
      <c r="DT3" s="30" t="s">
        <v>23</v>
      </c>
      <c r="DU3" s="30" t="s">
        <v>21</v>
      </c>
      <c r="DV3" s="30" t="s">
        <v>22</v>
      </c>
      <c r="DW3" s="30" t="s">
        <v>23</v>
      </c>
      <c r="DX3" s="30" t="s">
        <v>21</v>
      </c>
      <c r="DY3" s="30" t="s">
        <v>22</v>
      </c>
      <c r="DZ3" s="30" t="s">
        <v>23</v>
      </c>
      <c r="EA3" s="30" t="s">
        <v>21</v>
      </c>
      <c r="EB3" s="30" t="s">
        <v>22</v>
      </c>
      <c r="EC3" s="30" t="s">
        <v>23</v>
      </c>
      <c r="ED3" s="30" t="s">
        <v>21</v>
      </c>
      <c r="EE3" s="30" t="s">
        <v>22</v>
      </c>
      <c r="EF3" s="30" t="s">
        <v>23</v>
      </c>
      <c r="EG3" s="30" t="s">
        <v>21</v>
      </c>
      <c r="EH3" s="30" t="s">
        <v>22</v>
      </c>
      <c r="EI3" s="30" t="s">
        <v>23</v>
      </c>
      <c r="EJ3" s="30" t="s">
        <v>21</v>
      </c>
      <c r="EK3" s="30" t="s">
        <v>22</v>
      </c>
      <c r="EL3" s="30" t="s">
        <v>23</v>
      </c>
      <c r="EM3" s="30" t="s">
        <v>21</v>
      </c>
      <c r="EN3" s="30" t="s">
        <v>22</v>
      </c>
      <c r="EO3" s="30" t="s">
        <v>23</v>
      </c>
      <c r="EP3" s="30" t="s">
        <v>21</v>
      </c>
      <c r="EQ3" s="30" t="s">
        <v>22</v>
      </c>
      <c r="ER3" s="30" t="s">
        <v>23</v>
      </c>
      <c r="ES3" s="30" t="s">
        <v>21</v>
      </c>
      <c r="ET3" s="30" t="s">
        <v>22</v>
      </c>
      <c r="EU3" s="30" t="s">
        <v>23</v>
      </c>
      <c r="EV3" s="31"/>
      <c r="EW3" s="32"/>
      <c r="EX3" s="30" t="s">
        <v>21</v>
      </c>
      <c r="EY3" s="30" t="s">
        <v>22</v>
      </c>
      <c r="EZ3" s="30" t="s">
        <v>23</v>
      </c>
      <c r="FA3" s="30" t="s">
        <v>21</v>
      </c>
      <c r="FB3" s="30" t="s">
        <v>22</v>
      </c>
      <c r="FC3" s="30" t="s">
        <v>23</v>
      </c>
      <c r="FD3" s="30" t="s">
        <v>21</v>
      </c>
      <c r="FE3" s="30" t="s">
        <v>22</v>
      </c>
      <c r="FF3" s="30" t="s">
        <v>23</v>
      </c>
      <c r="FG3" s="30" t="s">
        <v>21</v>
      </c>
      <c r="FH3" s="30" t="s">
        <v>22</v>
      </c>
      <c r="FI3" s="30" t="s">
        <v>23</v>
      </c>
      <c r="FJ3" s="30" t="s">
        <v>21</v>
      </c>
      <c r="FK3" s="30" t="s">
        <v>22</v>
      </c>
      <c r="FL3" s="30" t="s">
        <v>23</v>
      </c>
      <c r="FM3" s="30" t="s">
        <v>21</v>
      </c>
      <c r="FN3" s="30" t="s">
        <v>22</v>
      </c>
      <c r="FO3" s="30" t="s">
        <v>23</v>
      </c>
      <c r="FP3" s="30" t="s">
        <v>21</v>
      </c>
      <c r="FQ3" s="30" t="s">
        <v>22</v>
      </c>
      <c r="FR3" s="30" t="s">
        <v>23</v>
      </c>
      <c r="FS3" s="30" t="s">
        <v>21</v>
      </c>
      <c r="FT3" s="30" t="s">
        <v>22</v>
      </c>
      <c r="FU3" s="30" t="s">
        <v>23</v>
      </c>
      <c r="FV3" s="30" t="s">
        <v>21</v>
      </c>
      <c r="FW3" s="30" t="s">
        <v>22</v>
      </c>
      <c r="FX3" s="30" t="s">
        <v>23</v>
      </c>
      <c r="FY3" s="30" t="s">
        <v>21</v>
      </c>
      <c r="FZ3" s="30" t="s">
        <v>22</v>
      </c>
      <c r="GA3" s="30" t="s">
        <v>23</v>
      </c>
      <c r="GB3" s="30" t="s">
        <v>21</v>
      </c>
      <c r="GC3" s="30" t="s">
        <v>22</v>
      </c>
      <c r="GD3" s="30" t="s">
        <v>23</v>
      </c>
      <c r="GE3" s="30" t="s">
        <v>21</v>
      </c>
      <c r="GF3" s="30" t="s">
        <v>22</v>
      </c>
      <c r="GG3" s="30" t="s">
        <v>23</v>
      </c>
      <c r="GH3" s="31"/>
      <c r="GI3" s="31"/>
      <c r="GJ3" s="30" t="s">
        <v>21</v>
      </c>
      <c r="GK3" s="30" t="s">
        <v>22</v>
      </c>
      <c r="GL3" s="30" t="s">
        <v>23</v>
      </c>
      <c r="GM3" s="30" t="s">
        <v>21</v>
      </c>
      <c r="GN3" s="30" t="s">
        <v>22</v>
      </c>
      <c r="GO3" s="30" t="s">
        <v>23</v>
      </c>
      <c r="GP3" s="30" t="s">
        <v>21</v>
      </c>
      <c r="GQ3" s="30" t="s">
        <v>22</v>
      </c>
      <c r="GR3" s="30" t="s">
        <v>23</v>
      </c>
      <c r="GS3" s="30" t="s">
        <v>21</v>
      </c>
      <c r="GT3" s="30" t="s">
        <v>22</v>
      </c>
      <c r="GU3" s="30" t="s">
        <v>23</v>
      </c>
      <c r="GV3" s="30" t="s">
        <v>21</v>
      </c>
      <c r="GW3" s="30" t="s">
        <v>22</v>
      </c>
      <c r="GX3" s="30" t="s">
        <v>23</v>
      </c>
      <c r="GY3" s="30" t="s">
        <v>21</v>
      </c>
      <c r="GZ3" s="30" t="s">
        <v>22</v>
      </c>
      <c r="HA3" s="30" t="s">
        <v>23</v>
      </c>
      <c r="HB3" s="30" t="s">
        <v>21</v>
      </c>
      <c r="HC3" s="30" t="s">
        <v>22</v>
      </c>
      <c r="HD3" s="30" t="s">
        <v>23</v>
      </c>
      <c r="HE3" s="30" t="s">
        <v>21</v>
      </c>
      <c r="HF3" s="30" t="s">
        <v>22</v>
      </c>
      <c r="HG3" s="30" t="s">
        <v>23</v>
      </c>
      <c r="HH3" s="30" t="s">
        <v>21</v>
      </c>
      <c r="HI3" s="30" t="s">
        <v>22</v>
      </c>
      <c r="HJ3" s="30" t="s">
        <v>23</v>
      </c>
      <c r="HK3" s="30" t="s">
        <v>21</v>
      </c>
      <c r="HL3" s="30" t="s">
        <v>22</v>
      </c>
      <c r="HM3" s="30" t="s">
        <v>23</v>
      </c>
      <c r="HN3" s="30" t="s">
        <v>21</v>
      </c>
      <c r="HO3" s="30" t="s">
        <v>22</v>
      </c>
      <c r="HP3" s="30" t="s">
        <v>23</v>
      </c>
      <c r="HQ3" s="30" t="s">
        <v>21</v>
      </c>
      <c r="HR3" s="30" t="s">
        <v>22</v>
      </c>
      <c r="HS3" s="30" t="s">
        <v>23</v>
      </c>
      <c r="HT3" s="31"/>
      <c r="HU3" s="31"/>
      <c r="HV3" s="30" t="s">
        <v>21</v>
      </c>
      <c r="HW3" s="30" t="s">
        <v>22</v>
      </c>
      <c r="HX3" s="30" t="s">
        <v>23</v>
      </c>
      <c r="HY3" s="30" t="s">
        <v>21</v>
      </c>
      <c r="HZ3" s="30" t="s">
        <v>22</v>
      </c>
      <c r="IA3" s="30" t="s">
        <v>23</v>
      </c>
      <c r="IB3" s="30" t="s">
        <v>21</v>
      </c>
      <c r="IC3" s="30" t="s">
        <v>22</v>
      </c>
      <c r="ID3" s="30" t="s">
        <v>23</v>
      </c>
      <c r="IE3" s="30" t="s">
        <v>21</v>
      </c>
      <c r="IF3" s="30" t="s">
        <v>22</v>
      </c>
      <c r="IG3" s="30" t="s">
        <v>23</v>
      </c>
      <c r="IH3" s="30" t="s">
        <v>21</v>
      </c>
      <c r="II3" s="30" t="s">
        <v>22</v>
      </c>
      <c r="IJ3" s="30" t="s">
        <v>23</v>
      </c>
      <c r="IK3" s="30" t="s">
        <v>21</v>
      </c>
      <c r="IL3" s="30" t="s">
        <v>22</v>
      </c>
      <c r="IM3" s="30" t="s">
        <v>23</v>
      </c>
      <c r="IN3" s="30" t="s">
        <v>21</v>
      </c>
      <c r="IO3" s="30" t="s">
        <v>22</v>
      </c>
      <c r="IP3" s="30" t="s">
        <v>23</v>
      </c>
      <c r="IQ3" s="30" t="s">
        <v>21</v>
      </c>
      <c r="IR3" s="30" t="s">
        <v>22</v>
      </c>
      <c r="IS3" s="30" t="s">
        <v>23</v>
      </c>
      <c r="IT3" s="30" t="s">
        <v>21</v>
      </c>
      <c r="IU3" s="30" t="s">
        <v>22</v>
      </c>
      <c r="IV3" s="30" t="s">
        <v>23</v>
      </c>
      <c r="IW3" s="30" t="s">
        <v>21</v>
      </c>
      <c r="IX3" s="30" t="s">
        <v>22</v>
      </c>
      <c r="IY3" s="30" t="s">
        <v>23</v>
      </c>
      <c r="IZ3" s="30" t="s">
        <v>21</v>
      </c>
      <c r="JA3" s="30" t="s">
        <v>22</v>
      </c>
      <c r="JB3" s="30" t="s">
        <v>23</v>
      </c>
      <c r="JC3" s="30" t="s">
        <v>21</v>
      </c>
      <c r="JD3" s="30" t="s">
        <v>22</v>
      </c>
      <c r="JE3" s="30" t="s">
        <v>23</v>
      </c>
      <c r="JF3" s="31"/>
      <c r="JG3" s="32"/>
      <c r="JH3" s="30" t="s">
        <v>21</v>
      </c>
      <c r="JI3" s="30" t="s">
        <v>22</v>
      </c>
      <c r="JJ3" s="30" t="s">
        <v>23</v>
      </c>
      <c r="JK3" s="30" t="s">
        <v>21</v>
      </c>
      <c r="JL3" s="30" t="s">
        <v>22</v>
      </c>
      <c r="JM3" s="30" t="s">
        <v>23</v>
      </c>
      <c r="JN3" s="30" t="s">
        <v>21</v>
      </c>
      <c r="JO3" s="30" t="s">
        <v>22</v>
      </c>
      <c r="JP3" s="30" t="s">
        <v>23</v>
      </c>
      <c r="JQ3" s="30" t="s">
        <v>21</v>
      </c>
      <c r="JR3" s="30" t="s">
        <v>22</v>
      </c>
      <c r="JS3" s="30" t="s">
        <v>23</v>
      </c>
      <c r="JT3" s="30" t="s">
        <v>21</v>
      </c>
      <c r="JU3" s="30" t="s">
        <v>22</v>
      </c>
      <c r="JV3" s="30" t="s">
        <v>23</v>
      </c>
      <c r="JW3" s="30" t="s">
        <v>21</v>
      </c>
      <c r="JX3" s="30" t="s">
        <v>22</v>
      </c>
      <c r="JY3" s="30" t="s">
        <v>23</v>
      </c>
      <c r="JZ3" s="30" t="s">
        <v>21</v>
      </c>
      <c r="KA3" s="30" t="s">
        <v>22</v>
      </c>
      <c r="KB3" s="30" t="s">
        <v>23</v>
      </c>
      <c r="KC3" s="31"/>
      <c r="KD3" s="32"/>
    </row>
    <row r="4" spans="1:290" x14ac:dyDescent="0.3">
      <c r="A4" s="33" t="s">
        <v>17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>
        <v>0</v>
      </c>
      <c r="EY4" s="25">
        <v>0</v>
      </c>
      <c r="EZ4" s="25">
        <v>0</v>
      </c>
      <c r="FA4" s="25">
        <v>0</v>
      </c>
      <c r="FB4" s="25">
        <v>0</v>
      </c>
      <c r="FC4" s="25">
        <v>0</v>
      </c>
      <c r="FD4" s="25">
        <v>0</v>
      </c>
      <c r="FE4" s="25">
        <v>0</v>
      </c>
      <c r="FF4" s="25">
        <v>0</v>
      </c>
      <c r="FG4" s="25">
        <v>0</v>
      </c>
      <c r="FH4" s="25">
        <v>0</v>
      </c>
      <c r="FI4" s="25">
        <v>0</v>
      </c>
      <c r="FJ4" s="25">
        <v>1</v>
      </c>
      <c r="FK4" s="25">
        <v>1</v>
      </c>
      <c r="FL4" s="25">
        <v>0</v>
      </c>
      <c r="FM4" s="25">
        <v>7</v>
      </c>
      <c r="FN4" s="25">
        <v>6</v>
      </c>
      <c r="FO4" s="25">
        <v>0</v>
      </c>
      <c r="FP4" s="25">
        <v>10</v>
      </c>
      <c r="FQ4" s="25">
        <v>6</v>
      </c>
      <c r="FR4" s="25">
        <v>0</v>
      </c>
      <c r="FS4" s="25">
        <v>11</v>
      </c>
      <c r="FT4" s="25">
        <v>11</v>
      </c>
      <c r="FU4" s="25">
        <v>0</v>
      </c>
      <c r="FV4" s="25">
        <v>16</v>
      </c>
      <c r="FW4" s="25">
        <v>7</v>
      </c>
      <c r="FX4" s="25">
        <v>1</v>
      </c>
      <c r="FY4" s="25">
        <v>27</v>
      </c>
      <c r="FZ4" s="25">
        <v>24</v>
      </c>
      <c r="GA4" s="25">
        <v>0</v>
      </c>
      <c r="GB4" s="25">
        <v>45</v>
      </c>
      <c r="GC4" s="25">
        <v>32</v>
      </c>
      <c r="GD4" s="25">
        <v>1</v>
      </c>
      <c r="GE4" s="25">
        <v>100</v>
      </c>
      <c r="GF4" s="25">
        <v>46</v>
      </c>
      <c r="GG4" s="25">
        <v>7</v>
      </c>
      <c r="GH4" s="25">
        <f t="shared" ref="GH4:GH23" si="0">GE4+GB4+FY4+FV4+FS4+FP4+FM4+FJ4+FG4+FD4+FA4+EX4</f>
        <v>217</v>
      </c>
      <c r="GI4" s="25">
        <f t="shared" ref="GI4:GI23" si="1">GF4+GC4+FZ4+FW4+FT4+FQ4+FN4+FK4+FH4+FE4+FB4+EY4</f>
        <v>133</v>
      </c>
      <c r="GJ4" s="25">
        <v>742</v>
      </c>
      <c r="GK4" s="25">
        <v>70</v>
      </c>
      <c r="GL4" s="25">
        <v>14</v>
      </c>
      <c r="GM4" s="25">
        <v>162</v>
      </c>
      <c r="GN4" s="25">
        <v>78</v>
      </c>
      <c r="GO4" s="25">
        <v>14</v>
      </c>
      <c r="GP4" s="25">
        <v>162</v>
      </c>
      <c r="GQ4" s="25">
        <v>76</v>
      </c>
      <c r="GR4" s="25">
        <v>7</v>
      </c>
      <c r="GS4" s="25">
        <v>128</v>
      </c>
      <c r="GT4" s="25">
        <v>71</v>
      </c>
      <c r="GU4" s="25">
        <v>9</v>
      </c>
      <c r="GV4" s="25">
        <v>107</v>
      </c>
      <c r="GW4" s="25">
        <v>51</v>
      </c>
      <c r="GX4" s="25">
        <v>7</v>
      </c>
      <c r="GY4" s="25">
        <v>28</v>
      </c>
      <c r="GZ4" s="25">
        <v>10</v>
      </c>
      <c r="HA4" s="25">
        <v>0</v>
      </c>
      <c r="HB4" s="25">
        <v>4</v>
      </c>
      <c r="HC4" s="25">
        <v>1</v>
      </c>
      <c r="HD4" s="25">
        <v>0</v>
      </c>
      <c r="HE4" s="25">
        <v>0</v>
      </c>
      <c r="HF4" s="25">
        <v>0</v>
      </c>
      <c r="HG4" s="25">
        <v>0</v>
      </c>
      <c r="HH4" s="25">
        <v>0</v>
      </c>
      <c r="HI4" s="25">
        <v>0</v>
      </c>
      <c r="HJ4" s="25">
        <v>0</v>
      </c>
      <c r="HK4" s="25">
        <v>0</v>
      </c>
      <c r="HL4" s="25">
        <v>0</v>
      </c>
      <c r="HM4" s="25">
        <v>0</v>
      </c>
      <c r="HN4" s="25">
        <v>0</v>
      </c>
      <c r="HO4" s="25">
        <v>0</v>
      </c>
      <c r="HP4" s="25">
        <v>0</v>
      </c>
      <c r="HQ4" s="25">
        <v>0</v>
      </c>
      <c r="HR4" s="25">
        <v>0</v>
      </c>
      <c r="HS4" s="25">
        <v>0</v>
      </c>
      <c r="HT4" s="25">
        <f>GJ4+GM4+GP4+GS4+GV4+GY4+HB4+HE4+HH4+HK4+HN4+HQ4</f>
        <v>1333</v>
      </c>
      <c r="HU4" s="25">
        <f t="shared" ref="HU4:HU23" si="2">HR4+HO4+HL4+HI4+HF4+HC4+GZ4+GW4+GT4+GQ4+GN4+GK4</f>
        <v>357</v>
      </c>
      <c r="HV4" s="25">
        <v>5</v>
      </c>
      <c r="HW4" s="25">
        <v>1</v>
      </c>
      <c r="HX4" s="25">
        <v>0</v>
      </c>
      <c r="HY4" s="25">
        <v>4</v>
      </c>
      <c r="HZ4" s="25">
        <v>3</v>
      </c>
      <c r="IA4" s="25">
        <v>0</v>
      </c>
      <c r="IB4" s="25">
        <v>2</v>
      </c>
      <c r="IC4" s="25">
        <v>2</v>
      </c>
      <c r="ID4" s="25">
        <v>0</v>
      </c>
      <c r="IE4" s="25">
        <v>4</v>
      </c>
      <c r="IF4" s="25">
        <v>3</v>
      </c>
      <c r="IG4" s="25">
        <v>0</v>
      </c>
      <c r="IH4" s="25">
        <v>3</v>
      </c>
      <c r="II4" s="25">
        <v>2</v>
      </c>
      <c r="IJ4" s="25">
        <v>0</v>
      </c>
      <c r="IK4" s="25">
        <v>7</v>
      </c>
      <c r="IL4" s="25">
        <v>7</v>
      </c>
      <c r="IM4" s="25">
        <v>0</v>
      </c>
      <c r="IN4" s="25">
        <v>6</v>
      </c>
      <c r="IO4" s="25">
        <v>6</v>
      </c>
      <c r="IP4" s="25">
        <v>0</v>
      </c>
      <c r="IQ4" s="25">
        <v>0</v>
      </c>
      <c r="IR4" s="25">
        <v>0</v>
      </c>
      <c r="IS4" s="25">
        <v>0</v>
      </c>
      <c r="IT4" s="25">
        <v>0</v>
      </c>
      <c r="IU4" s="25">
        <v>0</v>
      </c>
      <c r="IV4" s="25">
        <v>0</v>
      </c>
      <c r="IW4" s="25">
        <v>2</v>
      </c>
      <c r="IX4" s="25">
        <v>1</v>
      </c>
      <c r="IY4" s="25">
        <v>0</v>
      </c>
      <c r="IZ4" s="25">
        <v>1</v>
      </c>
      <c r="JA4" s="25">
        <v>1</v>
      </c>
      <c r="JB4" s="25">
        <v>0</v>
      </c>
      <c r="JC4" s="25">
        <v>5</v>
      </c>
      <c r="JD4" s="25">
        <v>5</v>
      </c>
      <c r="JE4" s="25">
        <v>0</v>
      </c>
      <c r="JF4" s="25">
        <f>HV4+HY4+IB4+IE4+IH4+IK4+IN4+IQ4+IT4+IW4+IZ4+JC4</f>
        <v>39</v>
      </c>
      <c r="JG4" s="25">
        <f>JD4+IX4+IU4+IR4+IO4+IL4+II4+IF4+IC4+HZ4+HW4</f>
        <v>30</v>
      </c>
      <c r="JH4" s="25">
        <v>19</v>
      </c>
      <c r="JI4" s="25">
        <v>16</v>
      </c>
      <c r="JJ4" s="25">
        <v>0</v>
      </c>
      <c r="JK4" s="25">
        <v>20</v>
      </c>
      <c r="JL4" s="25">
        <v>8</v>
      </c>
      <c r="JM4" s="25">
        <v>0</v>
      </c>
      <c r="JN4" s="25">
        <v>21</v>
      </c>
      <c r="JO4" s="25">
        <v>4</v>
      </c>
      <c r="JP4" s="25">
        <v>0</v>
      </c>
      <c r="JQ4" s="25">
        <v>15</v>
      </c>
      <c r="JR4" s="25">
        <v>13</v>
      </c>
      <c r="JS4" s="25">
        <v>0</v>
      </c>
      <c r="JT4" s="25">
        <v>11</v>
      </c>
      <c r="JU4" s="25">
        <v>11</v>
      </c>
      <c r="JV4" s="25">
        <v>0</v>
      </c>
      <c r="JW4" s="25">
        <v>2</v>
      </c>
      <c r="JX4" s="25">
        <v>2</v>
      </c>
      <c r="JY4" s="25">
        <v>0</v>
      </c>
      <c r="JZ4" s="25">
        <v>1</v>
      </c>
      <c r="KA4" s="25">
        <v>1</v>
      </c>
      <c r="KB4" s="25">
        <v>0</v>
      </c>
      <c r="KC4" s="26">
        <f>JZ4+JW4+JT4+JQ4+JN4+JK4+JH4</f>
        <v>89</v>
      </c>
      <c r="KD4" s="26">
        <f>KA4+JX4+JU4+JR4+JO4+JL4+JI4</f>
        <v>55</v>
      </c>
    </row>
    <row r="5" spans="1:290" x14ac:dyDescent="0.3">
      <c r="A5" s="33" t="s">
        <v>0</v>
      </c>
      <c r="B5" s="25">
        <v>64</v>
      </c>
      <c r="C5" s="25">
        <v>33</v>
      </c>
      <c r="D5" s="25">
        <v>0</v>
      </c>
      <c r="E5" s="25">
        <v>71</v>
      </c>
      <c r="F5" s="25">
        <v>39</v>
      </c>
      <c r="G5" s="25">
        <v>1</v>
      </c>
      <c r="H5" s="25">
        <v>60</v>
      </c>
      <c r="I5" s="25">
        <v>27</v>
      </c>
      <c r="J5" s="25">
        <v>0</v>
      </c>
      <c r="K5" s="25">
        <v>28</v>
      </c>
      <c r="L5" s="25">
        <v>17</v>
      </c>
      <c r="M5" s="25">
        <v>0</v>
      </c>
      <c r="N5" s="25">
        <v>30</v>
      </c>
      <c r="O5" s="25">
        <v>17</v>
      </c>
      <c r="P5" s="25">
        <v>0</v>
      </c>
      <c r="Q5" s="25">
        <v>15</v>
      </c>
      <c r="R5" s="25">
        <v>11</v>
      </c>
      <c r="S5" s="25">
        <v>0</v>
      </c>
      <c r="T5" s="25">
        <v>4</v>
      </c>
      <c r="U5" s="25">
        <v>4</v>
      </c>
      <c r="V5" s="25">
        <v>0</v>
      </c>
      <c r="W5" s="25">
        <v>5</v>
      </c>
      <c r="X5" s="25">
        <v>5</v>
      </c>
      <c r="Y5" s="25">
        <v>0</v>
      </c>
      <c r="Z5" s="25">
        <v>0</v>
      </c>
      <c r="AA5" s="25">
        <v>0</v>
      </c>
      <c r="AB5" s="25">
        <v>0</v>
      </c>
      <c r="AC5" s="25">
        <v>0</v>
      </c>
      <c r="AD5" s="25">
        <v>0</v>
      </c>
      <c r="AE5" s="25">
        <v>0</v>
      </c>
      <c r="AF5" s="25">
        <v>0</v>
      </c>
      <c r="AG5" s="25">
        <v>0</v>
      </c>
      <c r="AH5" s="25">
        <v>0</v>
      </c>
      <c r="AI5" s="25">
        <v>5</v>
      </c>
      <c r="AJ5" s="25">
        <v>5</v>
      </c>
      <c r="AK5" s="25">
        <v>0</v>
      </c>
      <c r="AL5" s="25">
        <f>AI5+AF5+AC5+Z5+W5+T5+Q5+N5+K5+H5+E5+B5</f>
        <v>282</v>
      </c>
      <c r="AM5" s="25">
        <f>AJ5+AG5+AD5+AA5+X5+U5+R5+O5+L5+I5+F5+C5</f>
        <v>158</v>
      </c>
      <c r="AN5" s="25">
        <v>2</v>
      </c>
      <c r="AO5" s="25">
        <v>1</v>
      </c>
      <c r="AP5" s="25">
        <v>0</v>
      </c>
      <c r="AQ5" s="25">
        <v>36</v>
      </c>
      <c r="AR5" s="25">
        <v>29</v>
      </c>
      <c r="AS5" s="25">
        <v>0</v>
      </c>
      <c r="AT5" s="25">
        <v>12</v>
      </c>
      <c r="AU5" s="25">
        <v>7</v>
      </c>
      <c r="AV5" s="25">
        <v>0</v>
      </c>
      <c r="AW5" s="25">
        <v>9</v>
      </c>
      <c r="AX5" s="25">
        <v>6</v>
      </c>
      <c r="AY5" s="25">
        <v>0</v>
      </c>
      <c r="AZ5" s="25">
        <v>0</v>
      </c>
      <c r="BA5" s="25">
        <v>0</v>
      </c>
      <c r="BB5" s="25">
        <v>0</v>
      </c>
      <c r="BC5" s="25">
        <v>0</v>
      </c>
      <c r="BD5" s="25">
        <v>0</v>
      </c>
      <c r="BE5" s="25">
        <v>0</v>
      </c>
      <c r="BF5" s="25">
        <v>0</v>
      </c>
      <c r="BG5" s="25">
        <v>0</v>
      </c>
      <c r="BH5" s="25">
        <v>0</v>
      </c>
      <c r="BI5" s="25">
        <v>0</v>
      </c>
      <c r="BJ5" s="25">
        <v>0</v>
      </c>
      <c r="BK5" s="25">
        <v>0</v>
      </c>
      <c r="BL5" s="25">
        <v>0</v>
      </c>
      <c r="BM5" s="25">
        <v>0</v>
      </c>
      <c r="BN5" s="25">
        <v>0</v>
      </c>
      <c r="BO5" s="25">
        <v>0</v>
      </c>
      <c r="BP5" s="25">
        <v>0</v>
      </c>
      <c r="BQ5" s="25">
        <v>0</v>
      </c>
      <c r="BR5" s="25">
        <v>0</v>
      </c>
      <c r="BS5" s="25">
        <v>0</v>
      </c>
      <c r="BT5" s="25">
        <v>0</v>
      </c>
      <c r="BU5" s="25">
        <v>0</v>
      </c>
      <c r="BV5" s="25">
        <v>0</v>
      </c>
      <c r="BW5" s="25">
        <v>0</v>
      </c>
      <c r="BX5" s="25">
        <f>AN5+AQ5+AT5+AW5+AZ5+BC5+BF5+BI5+BL5+BO5+BR5+BU5</f>
        <v>59</v>
      </c>
      <c r="BY5" s="25">
        <f t="shared" ref="BY5:BY23" si="3">BV5+BS5+BP5+BM5+BJ5+BG5+BD5+BA5+AX5+AU5+AR5+AO5</f>
        <v>43</v>
      </c>
      <c r="BZ5" s="25">
        <v>0</v>
      </c>
      <c r="CA5" s="25">
        <v>0</v>
      </c>
      <c r="CB5" s="25">
        <v>0</v>
      </c>
      <c r="CC5" s="25">
        <v>0</v>
      </c>
      <c r="CD5" s="25">
        <v>0</v>
      </c>
      <c r="CE5" s="25">
        <v>0</v>
      </c>
      <c r="CF5" s="25">
        <v>0</v>
      </c>
      <c r="CG5" s="25">
        <v>0</v>
      </c>
      <c r="CH5" s="25">
        <v>0</v>
      </c>
      <c r="CI5" s="25">
        <v>0</v>
      </c>
      <c r="CJ5" s="25">
        <v>0</v>
      </c>
      <c r="CK5" s="25">
        <v>0</v>
      </c>
      <c r="CL5" s="25">
        <v>0</v>
      </c>
      <c r="CM5" s="25">
        <v>0</v>
      </c>
      <c r="CN5" s="25">
        <v>0</v>
      </c>
      <c r="CO5" s="25">
        <v>0</v>
      </c>
      <c r="CP5" s="25">
        <v>0</v>
      </c>
      <c r="CQ5" s="25">
        <v>0</v>
      </c>
      <c r="CR5" s="25">
        <v>0</v>
      </c>
      <c r="CS5" s="25">
        <v>0</v>
      </c>
      <c r="CT5" s="25">
        <v>0</v>
      </c>
      <c r="CU5" s="25">
        <v>0</v>
      </c>
      <c r="CV5" s="25">
        <v>0</v>
      </c>
      <c r="CW5" s="25">
        <v>0</v>
      </c>
      <c r="CX5" s="25">
        <v>0</v>
      </c>
      <c r="CY5" s="25">
        <v>0</v>
      </c>
      <c r="CZ5" s="25">
        <v>0</v>
      </c>
      <c r="DA5" s="25">
        <v>0</v>
      </c>
      <c r="DB5" s="25">
        <v>0</v>
      </c>
      <c r="DC5" s="25">
        <v>0</v>
      </c>
      <c r="DD5" s="25">
        <v>0</v>
      </c>
      <c r="DE5" s="25">
        <v>0</v>
      </c>
      <c r="DF5" s="25">
        <v>0</v>
      </c>
      <c r="DG5" s="25">
        <v>0</v>
      </c>
      <c r="DH5" s="25">
        <v>0</v>
      </c>
      <c r="DI5" s="25">
        <v>0</v>
      </c>
      <c r="DJ5" s="25">
        <f>BZ5+CC5+CF5+CI5+CL5+CO5+CR5+CU5+CX5+DA5+DD5+DG5</f>
        <v>0</v>
      </c>
      <c r="DK5" s="25">
        <f>CA5+CD5+CG5+CJ5+CM5+CP5+CS5+CV5+CY5+DB5+DE5+DH5</f>
        <v>0</v>
      </c>
      <c r="DL5" s="25">
        <v>0</v>
      </c>
      <c r="DM5" s="25">
        <v>0</v>
      </c>
      <c r="DN5" s="25">
        <v>0</v>
      </c>
      <c r="DO5" s="25">
        <v>0</v>
      </c>
      <c r="DP5" s="25">
        <v>0</v>
      </c>
      <c r="DQ5" s="25">
        <v>0</v>
      </c>
      <c r="DR5" s="25">
        <v>0</v>
      </c>
      <c r="DS5" s="25">
        <v>0</v>
      </c>
      <c r="DT5" s="25">
        <v>0</v>
      </c>
      <c r="DU5" s="25">
        <v>0</v>
      </c>
      <c r="DV5" s="25">
        <v>0</v>
      </c>
      <c r="DW5" s="25">
        <v>0</v>
      </c>
      <c r="DX5" s="25">
        <v>0</v>
      </c>
      <c r="DY5" s="25">
        <v>0</v>
      </c>
      <c r="DZ5" s="25">
        <v>0</v>
      </c>
      <c r="EA5" s="25">
        <v>0</v>
      </c>
      <c r="EB5" s="25">
        <v>0</v>
      </c>
      <c r="EC5" s="25">
        <v>0</v>
      </c>
      <c r="ED5" s="25">
        <v>0</v>
      </c>
      <c r="EE5" s="25">
        <v>0</v>
      </c>
      <c r="EF5" s="25">
        <v>0</v>
      </c>
      <c r="EG5" s="25">
        <v>0</v>
      </c>
      <c r="EH5" s="25">
        <v>0</v>
      </c>
      <c r="EI5" s="25">
        <v>0</v>
      </c>
      <c r="EJ5" s="25">
        <v>0</v>
      </c>
      <c r="EK5" s="25">
        <v>0</v>
      </c>
      <c r="EL5" s="25">
        <v>0</v>
      </c>
      <c r="EM5" s="25">
        <v>0</v>
      </c>
      <c r="EN5" s="25">
        <v>0</v>
      </c>
      <c r="EO5" s="25">
        <v>0</v>
      </c>
      <c r="EP5" s="25">
        <v>0</v>
      </c>
      <c r="EQ5" s="25">
        <v>0</v>
      </c>
      <c r="ER5" s="25">
        <v>0</v>
      </c>
      <c r="ES5" s="25">
        <v>0</v>
      </c>
      <c r="ET5" s="25">
        <v>0</v>
      </c>
      <c r="EU5" s="25">
        <v>0</v>
      </c>
      <c r="EV5" s="25">
        <f>ES5+EP5+EM5+EJ5+EG5+ED5+EA5+DX5+DU5+DR5+DO5+DL5</f>
        <v>0</v>
      </c>
      <c r="EW5" s="25">
        <f>ET5+EQ5+EN5+EK5+EH5+EE5+EB5+DY5+DV5+DS5+DP5+DM5</f>
        <v>0</v>
      </c>
      <c r="EX5" s="25">
        <v>0</v>
      </c>
      <c r="EY5" s="25">
        <v>0</v>
      </c>
      <c r="EZ5" s="25">
        <v>0</v>
      </c>
      <c r="FA5" s="25">
        <v>0</v>
      </c>
      <c r="FB5" s="25">
        <v>0</v>
      </c>
      <c r="FC5" s="25">
        <v>0</v>
      </c>
      <c r="FD5" s="25">
        <v>0</v>
      </c>
      <c r="FE5" s="25">
        <v>0</v>
      </c>
      <c r="FF5" s="25">
        <v>0</v>
      </c>
      <c r="FG5" s="25">
        <v>2</v>
      </c>
      <c r="FH5" s="25">
        <v>1</v>
      </c>
      <c r="FI5" s="25">
        <v>0</v>
      </c>
      <c r="FJ5" s="25">
        <v>5</v>
      </c>
      <c r="FK5" s="25">
        <v>4</v>
      </c>
      <c r="FL5" s="25">
        <v>0</v>
      </c>
      <c r="FM5" s="25">
        <v>11</v>
      </c>
      <c r="FN5" s="25">
        <v>11</v>
      </c>
      <c r="FO5" s="25">
        <v>0</v>
      </c>
      <c r="FP5" s="25">
        <v>7</v>
      </c>
      <c r="FQ5" s="25">
        <v>6</v>
      </c>
      <c r="FR5" s="25">
        <v>0</v>
      </c>
      <c r="FS5" s="25">
        <v>3</v>
      </c>
      <c r="FT5" s="25">
        <v>3</v>
      </c>
      <c r="FU5" s="25">
        <v>0</v>
      </c>
      <c r="FV5" s="25">
        <v>1</v>
      </c>
      <c r="FW5" s="25">
        <v>1</v>
      </c>
      <c r="FX5" s="25">
        <v>0</v>
      </c>
      <c r="FY5" s="25">
        <v>26</v>
      </c>
      <c r="FZ5" s="25">
        <v>17</v>
      </c>
      <c r="GA5" s="25">
        <v>5</v>
      </c>
      <c r="GB5" s="25">
        <v>91</v>
      </c>
      <c r="GC5" s="25">
        <v>73</v>
      </c>
      <c r="GD5" s="25">
        <v>5</v>
      </c>
      <c r="GE5" s="25">
        <v>229</v>
      </c>
      <c r="GF5" s="25">
        <v>177</v>
      </c>
      <c r="GG5" s="25">
        <v>2</v>
      </c>
      <c r="GH5" s="25">
        <f t="shared" si="0"/>
        <v>375</v>
      </c>
      <c r="GI5" s="25">
        <f t="shared" si="1"/>
        <v>293</v>
      </c>
      <c r="GJ5" s="25">
        <v>877</v>
      </c>
      <c r="GK5" s="25">
        <v>149</v>
      </c>
      <c r="GL5" s="25">
        <v>19</v>
      </c>
      <c r="GM5" s="25">
        <v>178</v>
      </c>
      <c r="GN5" s="25">
        <v>113</v>
      </c>
      <c r="GO5" s="25">
        <v>14</v>
      </c>
      <c r="GP5" s="25">
        <v>191</v>
      </c>
      <c r="GQ5" s="25">
        <v>105</v>
      </c>
      <c r="GR5" s="25">
        <v>17</v>
      </c>
      <c r="GS5" s="25">
        <v>184</v>
      </c>
      <c r="GT5" s="25">
        <v>120</v>
      </c>
      <c r="GU5" s="25">
        <v>5</v>
      </c>
      <c r="GV5" s="25">
        <v>69</v>
      </c>
      <c r="GW5" s="25">
        <v>42</v>
      </c>
      <c r="GX5" s="25">
        <v>3</v>
      </c>
      <c r="GY5" s="25">
        <v>16</v>
      </c>
      <c r="GZ5" s="25">
        <v>11</v>
      </c>
      <c r="HA5" s="25">
        <v>0</v>
      </c>
      <c r="HB5" s="25">
        <v>4</v>
      </c>
      <c r="HC5" s="25">
        <v>1</v>
      </c>
      <c r="HD5" s="25">
        <v>0</v>
      </c>
      <c r="HE5" s="25">
        <v>3</v>
      </c>
      <c r="HF5" s="25">
        <v>2</v>
      </c>
      <c r="HG5" s="25">
        <v>0</v>
      </c>
      <c r="HH5" s="25">
        <v>0</v>
      </c>
      <c r="HI5" s="25">
        <v>0</v>
      </c>
      <c r="HJ5" s="25">
        <v>0</v>
      </c>
      <c r="HK5" s="25">
        <v>0</v>
      </c>
      <c r="HL5" s="25">
        <v>0</v>
      </c>
      <c r="HM5" s="25">
        <v>0</v>
      </c>
      <c r="HN5" s="25">
        <v>0</v>
      </c>
      <c r="HO5" s="25">
        <v>0</v>
      </c>
      <c r="HP5" s="25">
        <v>0</v>
      </c>
      <c r="HQ5" s="25">
        <v>3</v>
      </c>
      <c r="HR5" s="25">
        <v>3</v>
      </c>
      <c r="HS5" s="25">
        <v>0</v>
      </c>
      <c r="HT5" s="25">
        <f t="shared" ref="HT5:HT23" si="4">GJ5+GM5+GP5+GS5+GV5+GY5+HB5+HE5+HH5+HK5+HN5+HQ5</f>
        <v>1525</v>
      </c>
      <c r="HU5" s="25">
        <f t="shared" si="2"/>
        <v>546</v>
      </c>
      <c r="HV5" s="25">
        <v>36</v>
      </c>
      <c r="HW5" s="25">
        <v>32</v>
      </c>
      <c r="HX5" s="25">
        <v>1</v>
      </c>
      <c r="HY5" s="25">
        <v>56</v>
      </c>
      <c r="HZ5" s="25">
        <v>41</v>
      </c>
      <c r="IA5" s="25">
        <v>3</v>
      </c>
      <c r="IB5" s="25">
        <v>51</v>
      </c>
      <c r="IC5" s="25">
        <v>41</v>
      </c>
      <c r="ID5" s="25">
        <v>1</v>
      </c>
      <c r="IE5" s="25">
        <v>44</v>
      </c>
      <c r="IF5" s="25">
        <v>32</v>
      </c>
      <c r="IG5" s="25">
        <v>1</v>
      </c>
      <c r="IH5" s="25">
        <v>28</v>
      </c>
      <c r="II5" s="25">
        <v>20</v>
      </c>
      <c r="IJ5" s="25">
        <v>0</v>
      </c>
      <c r="IK5" s="25">
        <v>10</v>
      </c>
      <c r="IL5" s="25">
        <v>7</v>
      </c>
      <c r="IM5" s="25">
        <v>2</v>
      </c>
      <c r="IN5" s="25">
        <v>0</v>
      </c>
      <c r="IO5" s="25">
        <v>0</v>
      </c>
      <c r="IP5" s="25">
        <v>0</v>
      </c>
      <c r="IQ5" s="25">
        <v>0</v>
      </c>
      <c r="IR5" s="25">
        <v>0</v>
      </c>
      <c r="IS5" s="25">
        <v>0</v>
      </c>
      <c r="IT5" s="25">
        <v>0</v>
      </c>
      <c r="IU5" s="25">
        <v>0</v>
      </c>
      <c r="IV5" s="25">
        <v>0</v>
      </c>
      <c r="IW5" s="25">
        <v>0</v>
      </c>
      <c r="IX5" s="25">
        <v>0</v>
      </c>
      <c r="IY5" s="25">
        <v>0</v>
      </c>
      <c r="IZ5" s="25">
        <v>0</v>
      </c>
      <c r="JA5" s="25">
        <v>0</v>
      </c>
      <c r="JB5" s="25">
        <v>0</v>
      </c>
      <c r="JC5" s="25">
        <v>1</v>
      </c>
      <c r="JD5" s="25">
        <v>1</v>
      </c>
      <c r="JE5" s="25">
        <v>0</v>
      </c>
      <c r="JF5" s="25">
        <f t="shared" ref="JF5:JF23" si="5">HV5+HY5+IB5+IE5+IH5+IK5+IN5+IQ5+IT5+IW5+IZ5+JC5</f>
        <v>226</v>
      </c>
      <c r="JG5" s="25">
        <f t="shared" ref="JG5:JG23" si="6">JD5+IX5+IU5+IR5+IO5+IL5+II5+IF5+IC5+HZ5+HW5</f>
        <v>174</v>
      </c>
      <c r="JH5" s="25">
        <v>35</v>
      </c>
      <c r="JI5" s="25">
        <v>6</v>
      </c>
      <c r="JJ5" s="25">
        <v>27</v>
      </c>
      <c r="JK5" s="25">
        <v>39</v>
      </c>
      <c r="JL5" s="25">
        <v>6</v>
      </c>
      <c r="JM5" s="25">
        <v>16</v>
      </c>
      <c r="JN5" s="25">
        <v>38</v>
      </c>
      <c r="JO5" s="25">
        <v>5</v>
      </c>
      <c r="JP5" s="25">
        <v>3</v>
      </c>
      <c r="JQ5" s="25">
        <v>32</v>
      </c>
      <c r="JR5" s="25">
        <v>10</v>
      </c>
      <c r="JS5" s="25">
        <v>1</v>
      </c>
      <c r="JT5" s="25">
        <v>14</v>
      </c>
      <c r="JU5" s="25">
        <v>3</v>
      </c>
      <c r="JV5" s="25">
        <v>2</v>
      </c>
      <c r="JW5" s="25">
        <v>22</v>
      </c>
      <c r="JX5" s="25">
        <v>2</v>
      </c>
      <c r="JY5" s="25">
        <v>0</v>
      </c>
      <c r="JZ5" s="25">
        <v>1</v>
      </c>
      <c r="KA5" s="25">
        <v>1</v>
      </c>
      <c r="KB5" s="25">
        <v>0</v>
      </c>
      <c r="KC5" s="26">
        <f t="shared" ref="KC5:KC23" si="7">JZ5+JW5+JT5+JQ5+JN5+JK5+JH5</f>
        <v>181</v>
      </c>
      <c r="KD5" s="26">
        <f t="shared" ref="KD5:KD23" si="8">KA5+JX5+JU5+JR5+JO5+JL5+JI5</f>
        <v>33</v>
      </c>
    </row>
    <row r="6" spans="1:290" x14ac:dyDescent="0.3">
      <c r="A6" s="33" t="s">
        <v>1</v>
      </c>
      <c r="B6" s="25">
        <v>17</v>
      </c>
      <c r="C6" s="25">
        <v>15</v>
      </c>
      <c r="D6" s="25">
        <v>0</v>
      </c>
      <c r="E6" s="25">
        <v>25</v>
      </c>
      <c r="F6" s="25">
        <v>12</v>
      </c>
      <c r="G6" s="25">
        <v>1</v>
      </c>
      <c r="H6" s="25">
        <v>9</v>
      </c>
      <c r="I6" s="25">
        <v>5</v>
      </c>
      <c r="J6" s="25">
        <v>0</v>
      </c>
      <c r="K6" s="25">
        <v>5</v>
      </c>
      <c r="L6" s="25">
        <v>4</v>
      </c>
      <c r="M6" s="25">
        <v>0</v>
      </c>
      <c r="N6" s="25">
        <v>7</v>
      </c>
      <c r="O6" s="25">
        <v>4</v>
      </c>
      <c r="P6" s="25">
        <v>0</v>
      </c>
      <c r="Q6" s="25">
        <v>20</v>
      </c>
      <c r="R6" s="25">
        <v>14</v>
      </c>
      <c r="S6" s="25">
        <v>0</v>
      </c>
      <c r="T6" s="25">
        <v>21</v>
      </c>
      <c r="U6" s="25">
        <v>21</v>
      </c>
      <c r="V6" s="25">
        <v>0</v>
      </c>
      <c r="W6" s="25">
        <v>33</v>
      </c>
      <c r="X6" s="25">
        <v>23</v>
      </c>
      <c r="Y6" s="25">
        <v>0</v>
      </c>
      <c r="Z6" s="25">
        <v>25</v>
      </c>
      <c r="AA6" s="25">
        <v>17</v>
      </c>
      <c r="AB6" s="25">
        <v>0</v>
      </c>
      <c r="AC6" s="25">
        <v>36</v>
      </c>
      <c r="AD6" s="25">
        <v>23</v>
      </c>
      <c r="AE6" s="25">
        <v>0</v>
      </c>
      <c r="AF6" s="25">
        <v>23</v>
      </c>
      <c r="AG6" s="25">
        <v>9</v>
      </c>
      <c r="AH6" s="25">
        <v>0</v>
      </c>
      <c r="AI6" s="25">
        <v>61</v>
      </c>
      <c r="AJ6" s="25">
        <v>34</v>
      </c>
      <c r="AK6" s="25">
        <v>2</v>
      </c>
      <c r="AL6" s="25">
        <f t="shared" ref="AL6:AL23" si="9">AI6+AF6+AC6+Z6+W6+T6+Q6+N6+K6+H6+E6+B6</f>
        <v>282</v>
      </c>
      <c r="AM6" s="25">
        <f t="shared" ref="AM6:AM23" si="10">AJ6+AG6+AD6+AA6+X6+U6+R6+O6+L6+I6+F6+C6</f>
        <v>181</v>
      </c>
      <c r="AN6" s="25">
        <v>61</v>
      </c>
      <c r="AO6" s="25">
        <v>40</v>
      </c>
      <c r="AP6" s="25">
        <v>2</v>
      </c>
      <c r="AQ6" s="25">
        <v>41</v>
      </c>
      <c r="AR6" s="25">
        <v>24</v>
      </c>
      <c r="AS6" s="25">
        <v>2</v>
      </c>
      <c r="AT6" s="25">
        <v>17</v>
      </c>
      <c r="AU6" s="25">
        <v>13</v>
      </c>
      <c r="AV6" s="25">
        <v>1</v>
      </c>
      <c r="AW6" s="25">
        <v>8</v>
      </c>
      <c r="AX6" s="25">
        <v>6</v>
      </c>
      <c r="AY6" s="25">
        <v>1</v>
      </c>
      <c r="AZ6" s="25">
        <v>2</v>
      </c>
      <c r="BA6" s="25">
        <v>2</v>
      </c>
      <c r="BB6" s="25">
        <v>0</v>
      </c>
      <c r="BC6" s="25">
        <v>0</v>
      </c>
      <c r="BD6" s="25">
        <v>0</v>
      </c>
      <c r="BE6" s="25">
        <v>0</v>
      </c>
      <c r="BF6" s="25">
        <v>0</v>
      </c>
      <c r="BG6" s="25">
        <v>0</v>
      </c>
      <c r="BH6" s="25">
        <v>0</v>
      </c>
      <c r="BI6" s="25">
        <v>0</v>
      </c>
      <c r="BJ6" s="25">
        <v>0</v>
      </c>
      <c r="BK6" s="25">
        <v>0</v>
      </c>
      <c r="BL6" s="25">
        <v>0</v>
      </c>
      <c r="BM6" s="25">
        <v>0</v>
      </c>
      <c r="BN6" s="25">
        <v>0</v>
      </c>
      <c r="BO6" s="25">
        <v>0</v>
      </c>
      <c r="BP6" s="25">
        <v>0</v>
      </c>
      <c r="BQ6" s="25">
        <v>0</v>
      </c>
      <c r="BR6" s="25">
        <v>0</v>
      </c>
      <c r="BS6" s="25">
        <v>0</v>
      </c>
      <c r="BT6" s="25">
        <v>0</v>
      </c>
      <c r="BU6" s="25">
        <v>0</v>
      </c>
      <c r="BV6" s="25">
        <v>0</v>
      </c>
      <c r="BW6" s="25">
        <v>0</v>
      </c>
      <c r="BX6" s="25">
        <f t="shared" ref="BX6:BX23" si="11">AN6+AQ6+AT6+AW6+AZ6+BC6+BF6+BI6+BL6+BO6+BR6+BU6</f>
        <v>129</v>
      </c>
      <c r="BY6" s="25">
        <f t="shared" si="3"/>
        <v>85</v>
      </c>
      <c r="BZ6" s="25">
        <v>0</v>
      </c>
      <c r="CA6" s="25">
        <v>0</v>
      </c>
      <c r="CB6" s="25">
        <v>0</v>
      </c>
      <c r="CC6" s="25">
        <v>0</v>
      </c>
      <c r="CD6" s="25">
        <v>0</v>
      </c>
      <c r="CE6" s="25">
        <v>0</v>
      </c>
      <c r="CF6" s="25">
        <v>0</v>
      </c>
      <c r="CG6" s="25">
        <v>0</v>
      </c>
      <c r="CH6" s="25">
        <v>0</v>
      </c>
      <c r="CI6" s="25">
        <v>0</v>
      </c>
      <c r="CJ6" s="25">
        <v>0</v>
      </c>
      <c r="CK6" s="25">
        <v>0</v>
      </c>
      <c r="CL6" s="25">
        <v>0</v>
      </c>
      <c r="CM6" s="25">
        <v>0</v>
      </c>
      <c r="CN6" s="25">
        <v>0</v>
      </c>
      <c r="CO6" s="25">
        <v>0</v>
      </c>
      <c r="CP6" s="25">
        <v>0</v>
      </c>
      <c r="CQ6" s="25">
        <v>0</v>
      </c>
      <c r="CR6" s="25">
        <v>0</v>
      </c>
      <c r="CS6" s="25">
        <v>0</v>
      </c>
      <c r="CT6" s="25">
        <v>0</v>
      </c>
      <c r="CU6" s="25">
        <v>0</v>
      </c>
      <c r="CV6" s="25">
        <v>0</v>
      </c>
      <c r="CW6" s="25">
        <v>0</v>
      </c>
      <c r="CX6" s="25">
        <v>0</v>
      </c>
      <c r="CY6" s="25">
        <v>0</v>
      </c>
      <c r="CZ6" s="25">
        <v>0</v>
      </c>
      <c r="DA6" s="25">
        <v>0</v>
      </c>
      <c r="DB6" s="25">
        <v>0</v>
      </c>
      <c r="DC6" s="25">
        <v>0</v>
      </c>
      <c r="DD6" s="25">
        <v>0</v>
      </c>
      <c r="DE6" s="25">
        <v>0</v>
      </c>
      <c r="DF6" s="25">
        <v>0</v>
      </c>
      <c r="DG6" s="25">
        <v>0</v>
      </c>
      <c r="DH6" s="25">
        <v>0</v>
      </c>
      <c r="DI6" s="25">
        <v>0</v>
      </c>
      <c r="DJ6" s="25">
        <f t="shared" ref="DJ6:DJ23" si="12">BZ6+CC6+CF6+CI6+CL6+CO6+CR6+CU6+CX6+DA6+DD6+DG6</f>
        <v>0</v>
      </c>
      <c r="DK6" s="25">
        <f t="shared" ref="DK6:DK23" si="13">CA6+CD6+CG6+CJ6+CM6+CP6+CS6+CV6+CY6+DB6+DE6+DH6</f>
        <v>0</v>
      </c>
      <c r="DL6" s="25">
        <v>0</v>
      </c>
      <c r="DM6" s="25">
        <v>0</v>
      </c>
      <c r="DN6" s="25">
        <v>0</v>
      </c>
      <c r="DO6" s="25">
        <v>0</v>
      </c>
      <c r="DP6" s="25">
        <v>0</v>
      </c>
      <c r="DQ6" s="25">
        <v>0</v>
      </c>
      <c r="DR6" s="25">
        <v>0</v>
      </c>
      <c r="DS6" s="25">
        <v>0</v>
      </c>
      <c r="DT6" s="25">
        <v>0</v>
      </c>
      <c r="DU6" s="25">
        <v>0</v>
      </c>
      <c r="DV6" s="25">
        <v>0</v>
      </c>
      <c r="DW6" s="25">
        <v>0</v>
      </c>
      <c r="DX6" s="25">
        <v>0</v>
      </c>
      <c r="DY6" s="25">
        <v>0</v>
      </c>
      <c r="DZ6" s="25">
        <v>0</v>
      </c>
      <c r="EA6" s="25">
        <v>0</v>
      </c>
      <c r="EB6" s="25">
        <v>0</v>
      </c>
      <c r="EC6" s="25">
        <v>0</v>
      </c>
      <c r="ED6" s="25">
        <v>0</v>
      </c>
      <c r="EE6" s="25">
        <v>0</v>
      </c>
      <c r="EF6" s="25">
        <v>0</v>
      </c>
      <c r="EG6" s="25">
        <v>0</v>
      </c>
      <c r="EH6" s="25">
        <v>0</v>
      </c>
      <c r="EI6" s="25">
        <v>0</v>
      </c>
      <c r="EJ6" s="25">
        <v>0</v>
      </c>
      <c r="EK6" s="25">
        <v>0</v>
      </c>
      <c r="EL6" s="25">
        <v>0</v>
      </c>
      <c r="EM6" s="25">
        <v>0</v>
      </c>
      <c r="EN6" s="25">
        <v>0</v>
      </c>
      <c r="EO6" s="25">
        <v>0</v>
      </c>
      <c r="EP6" s="25">
        <v>0</v>
      </c>
      <c r="EQ6" s="25">
        <v>0</v>
      </c>
      <c r="ER6" s="25">
        <v>0</v>
      </c>
      <c r="ES6" s="25">
        <v>0</v>
      </c>
      <c r="ET6" s="25">
        <v>0</v>
      </c>
      <c r="EU6" s="25">
        <v>0</v>
      </c>
      <c r="EV6" s="25">
        <f t="shared" ref="EV6:EV23" si="14">ES6+EP6+EM6+EJ6+EG6+ED6+EA6+DX6+DU6+DR6+DO6+DL6</f>
        <v>0</v>
      </c>
      <c r="EW6" s="25">
        <f t="shared" ref="EW6:EW23" si="15">ET6+EQ6+EN6+EK6+EH6+EE6+EB6+DY6+DV6+DS6+DP6+DM6</f>
        <v>0</v>
      </c>
      <c r="EX6" s="25">
        <v>0</v>
      </c>
      <c r="EY6" s="25">
        <v>0</v>
      </c>
      <c r="EZ6" s="25">
        <v>0</v>
      </c>
      <c r="FA6" s="25">
        <v>1</v>
      </c>
      <c r="FB6" s="25">
        <v>1</v>
      </c>
      <c r="FC6" s="25">
        <v>0</v>
      </c>
      <c r="FD6" s="25">
        <v>3</v>
      </c>
      <c r="FE6" s="25">
        <v>3</v>
      </c>
      <c r="FF6" s="25">
        <v>0</v>
      </c>
      <c r="FG6" s="25">
        <v>0</v>
      </c>
      <c r="FH6" s="25">
        <v>0</v>
      </c>
      <c r="FI6" s="25">
        <v>0</v>
      </c>
      <c r="FJ6" s="25">
        <v>1</v>
      </c>
      <c r="FK6" s="25">
        <v>1</v>
      </c>
      <c r="FL6" s="25">
        <v>0</v>
      </c>
      <c r="FM6" s="25">
        <v>24</v>
      </c>
      <c r="FN6" s="25">
        <v>22</v>
      </c>
      <c r="FO6" s="25">
        <v>0</v>
      </c>
      <c r="FP6" s="25">
        <v>51</v>
      </c>
      <c r="FQ6" s="25">
        <v>42</v>
      </c>
      <c r="FR6" s="25">
        <v>0</v>
      </c>
      <c r="FS6" s="25">
        <v>97</v>
      </c>
      <c r="FT6" s="25">
        <v>76</v>
      </c>
      <c r="FU6" s="25">
        <v>2</v>
      </c>
      <c r="FV6" s="25">
        <v>182</v>
      </c>
      <c r="FW6" s="25">
        <v>158</v>
      </c>
      <c r="FX6" s="25">
        <v>2</v>
      </c>
      <c r="FY6" s="25">
        <v>509</v>
      </c>
      <c r="FZ6" s="25">
        <v>476</v>
      </c>
      <c r="GA6" s="25">
        <v>17</v>
      </c>
      <c r="GB6" s="25">
        <v>575</v>
      </c>
      <c r="GC6" s="25">
        <v>450</v>
      </c>
      <c r="GD6" s="25">
        <v>28</v>
      </c>
      <c r="GE6" s="25">
        <v>736</v>
      </c>
      <c r="GF6" s="25">
        <v>496</v>
      </c>
      <c r="GG6" s="25">
        <v>34</v>
      </c>
      <c r="GH6" s="25">
        <f t="shared" si="0"/>
        <v>2179</v>
      </c>
      <c r="GI6" s="25">
        <f t="shared" si="1"/>
        <v>1725</v>
      </c>
      <c r="GJ6" s="25">
        <v>3772</v>
      </c>
      <c r="GK6" s="25">
        <v>1529</v>
      </c>
      <c r="GL6" s="25">
        <v>122</v>
      </c>
      <c r="GM6" s="25">
        <v>879</v>
      </c>
      <c r="GN6" s="25">
        <v>714</v>
      </c>
      <c r="GO6" s="25">
        <v>54</v>
      </c>
      <c r="GP6" s="25">
        <v>430</v>
      </c>
      <c r="GQ6" s="25">
        <v>364</v>
      </c>
      <c r="GR6" s="25">
        <v>1</v>
      </c>
      <c r="GS6" s="25">
        <v>208</v>
      </c>
      <c r="GT6" s="25">
        <v>149</v>
      </c>
      <c r="GU6" s="25">
        <v>6</v>
      </c>
      <c r="GV6" s="25">
        <v>72</v>
      </c>
      <c r="GW6" s="25">
        <v>62</v>
      </c>
      <c r="GX6" s="25">
        <v>7</v>
      </c>
      <c r="GY6" s="25">
        <v>46</v>
      </c>
      <c r="GZ6" s="25">
        <v>36</v>
      </c>
      <c r="HA6" s="25">
        <v>0</v>
      </c>
      <c r="HB6" s="25">
        <v>26</v>
      </c>
      <c r="HC6" s="25">
        <v>21</v>
      </c>
      <c r="HD6" s="25">
        <v>0</v>
      </c>
      <c r="HE6" s="25">
        <v>21</v>
      </c>
      <c r="HF6" s="25">
        <v>15</v>
      </c>
      <c r="HG6" s="25">
        <v>1</v>
      </c>
      <c r="HH6" s="25">
        <v>31</v>
      </c>
      <c r="HI6" s="25">
        <v>28</v>
      </c>
      <c r="HJ6" s="25">
        <v>0</v>
      </c>
      <c r="HK6" s="25">
        <v>5</v>
      </c>
      <c r="HL6" s="25">
        <v>4</v>
      </c>
      <c r="HM6" s="25">
        <v>0</v>
      </c>
      <c r="HN6" s="25">
        <v>4</v>
      </c>
      <c r="HO6" s="25">
        <v>4</v>
      </c>
      <c r="HP6" s="25">
        <v>0</v>
      </c>
      <c r="HQ6" s="25">
        <v>0</v>
      </c>
      <c r="HR6" s="25">
        <v>0</v>
      </c>
      <c r="HS6" s="25">
        <v>0</v>
      </c>
      <c r="HT6" s="25">
        <f t="shared" si="4"/>
        <v>5494</v>
      </c>
      <c r="HU6" s="25">
        <f t="shared" si="2"/>
        <v>2926</v>
      </c>
      <c r="HV6" s="25">
        <v>2</v>
      </c>
      <c r="HW6" s="25">
        <v>2</v>
      </c>
      <c r="HX6" s="25">
        <v>0</v>
      </c>
      <c r="HY6" s="25">
        <v>0</v>
      </c>
      <c r="HZ6" s="25">
        <v>0</v>
      </c>
      <c r="IA6" s="25">
        <v>0</v>
      </c>
      <c r="IB6" s="25">
        <v>0</v>
      </c>
      <c r="IC6" s="25">
        <v>0</v>
      </c>
      <c r="ID6" s="25">
        <v>0</v>
      </c>
      <c r="IE6" s="25">
        <v>0</v>
      </c>
      <c r="IF6" s="25">
        <v>0</v>
      </c>
      <c r="IG6" s="25">
        <v>0</v>
      </c>
      <c r="IH6" s="25">
        <v>1</v>
      </c>
      <c r="II6" s="25">
        <v>1</v>
      </c>
      <c r="IJ6" s="25">
        <v>0</v>
      </c>
      <c r="IK6" s="25">
        <v>3</v>
      </c>
      <c r="IL6" s="25">
        <v>3</v>
      </c>
      <c r="IM6" s="25">
        <v>0</v>
      </c>
      <c r="IN6" s="25">
        <v>0</v>
      </c>
      <c r="IO6" s="25">
        <v>0</v>
      </c>
      <c r="IP6" s="25">
        <v>0</v>
      </c>
      <c r="IQ6" s="25">
        <v>0</v>
      </c>
      <c r="IR6" s="25">
        <v>0</v>
      </c>
      <c r="IS6" s="25">
        <v>0</v>
      </c>
      <c r="IT6" s="25">
        <v>0</v>
      </c>
      <c r="IU6" s="25">
        <v>0</v>
      </c>
      <c r="IV6" s="25">
        <v>0</v>
      </c>
      <c r="IW6" s="25">
        <v>0</v>
      </c>
      <c r="IX6" s="25">
        <v>0</v>
      </c>
      <c r="IY6" s="25">
        <v>0</v>
      </c>
      <c r="IZ6" s="25">
        <v>8</v>
      </c>
      <c r="JA6" s="25">
        <v>8</v>
      </c>
      <c r="JB6" s="25">
        <v>0</v>
      </c>
      <c r="JC6" s="25">
        <v>18</v>
      </c>
      <c r="JD6" s="25">
        <v>16</v>
      </c>
      <c r="JE6" s="25">
        <v>0</v>
      </c>
      <c r="JF6" s="25">
        <f t="shared" si="5"/>
        <v>32</v>
      </c>
      <c r="JG6" s="25">
        <f t="shared" si="6"/>
        <v>22</v>
      </c>
      <c r="JH6" s="25">
        <v>102</v>
      </c>
      <c r="JI6" s="25">
        <v>93</v>
      </c>
      <c r="JJ6" s="25">
        <v>1</v>
      </c>
      <c r="JK6" s="25">
        <v>77</v>
      </c>
      <c r="JL6" s="25">
        <v>65</v>
      </c>
      <c r="JM6" s="25">
        <v>0</v>
      </c>
      <c r="JN6" s="25">
        <v>57</v>
      </c>
      <c r="JO6" s="25">
        <v>51</v>
      </c>
      <c r="JP6" s="25">
        <v>0</v>
      </c>
      <c r="JQ6" s="25">
        <v>78</v>
      </c>
      <c r="JR6" s="25">
        <v>68</v>
      </c>
      <c r="JS6" s="25">
        <v>3</v>
      </c>
      <c r="JT6" s="25">
        <v>21</v>
      </c>
      <c r="JU6" s="25">
        <v>19</v>
      </c>
      <c r="JV6" s="25">
        <v>0</v>
      </c>
      <c r="JW6" s="25">
        <v>38</v>
      </c>
      <c r="JX6" s="25">
        <v>36</v>
      </c>
      <c r="JY6" s="25">
        <v>0</v>
      </c>
      <c r="JZ6" s="25">
        <v>36</v>
      </c>
      <c r="KA6" s="25">
        <v>32</v>
      </c>
      <c r="KB6" s="25">
        <v>0</v>
      </c>
      <c r="KC6" s="26">
        <f t="shared" si="7"/>
        <v>409</v>
      </c>
      <c r="KD6" s="26">
        <f t="shared" si="8"/>
        <v>364</v>
      </c>
    </row>
    <row r="7" spans="1:290" x14ac:dyDescent="0.3">
      <c r="A7" s="33" t="s">
        <v>2</v>
      </c>
      <c r="B7" s="25">
        <v>15</v>
      </c>
      <c r="C7" s="25">
        <v>13</v>
      </c>
      <c r="D7" s="25">
        <v>0</v>
      </c>
      <c r="E7" s="25">
        <v>42</v>
      </c>
      <c r="F7" s="25">
        <v>31</v>
      </c>
      <c r="G7" s="25">
        <v>0</v>
      </c>
      <c r="H7" s="25">
        <v>67</v>
      </c>
      <c r="I7" s="25">
        <v>54</v>
      </c>
      <c r="J7" s="25">
        <v>0</v>
      </c>
      <c r="K7" s="25">
        <v>60</v>
      </c>
      <c r="L7" s="25">
        <v>41</v>
      </c>
      <c r="M7" s="25">
        <v>1</v>
      </c>
      <c r="N7" s="25">
        <v>69</v>
      </c>
      <c r="O7" s="25">
        <v>47</v>
      </c>
      <c r="P7" s="25">
        <v>1</v>
      </c>
      <c r="Q7" s="25">
        <v>169</v>
      </c>
      <c r="R7" s="25">
        <v>120</v>
      </c>
      <c r="S7" s="25">
        <v>2</v>
      </c>
      <c r="T7" s="25">
        <v>39</v>
      </c>
      <c r="U7" s="25">
        <v>22</v>
      </c>
      <c r="V7" s="25">
        <v>2</v>
      </c>
      <c r="W7" s="25">
        <v>8</v>
      </c>
      <c r="X7" s="25">
        <v>7</v>
      </c>
      <c r="Y7" s="25">
        <v>0</v>
      </c>
      <c r="Z7" s="25">
        <v>8</v>
      </c>
      <c r="AA7" s="25">
        <v>7</v>
      </c>
      <c r="AB7" s="25">
        <v>0</v>
      </c>
      <c r="AC7" s="25">
        <v>25</v>
      </c>
      <c r="AD7" s="25">
        <v>24</v>
      </c>
      <c r="AE7" s="25">
        <v>0</v>
      </c>
      <c r="AF7" s="25">
        <v>45</v>
      </c>
      <c r="AG7" s="25">
        <v>35</v>
      </c>
      <c r="AH7" s="25">
        <v>1</v>
      </c>
      <c r="AI7" s="25">
        <v>54</v>
      </c>
      <c r="AJ7" s="25">
        <v>42</v>
      </c>
      <c r="AK7" s="25">
        <v>1</v>
      </c>
      <c r="AL7" s="25">
        <f t="shared" si="9"/>
        <v>601</v>
      </c>
      <c r="AM7" s="25">
        <f t="shared" si="10"/>
        <v>443</v>
      </c>
      <c r="AN7" s="25">
        <v>94</v>
      </c>
      <c r="AO7" s="25">
        <v>63</v>
      </c>
      <c r="AP7" s="25">
        <v>1</v>
      </c>
      <c r="AQ7" s="25">
        <v>54</v>
      </c>
      <c r="AR7" s="25">
        <v>37</v>
      </c>
      <c r="AS7" s="25">
        <v>1</v>
      </c>
      <c r="AT7" s="25">
        <v>56</v>
      </c>
      <c r="AU7" s="25">
        <v>40</v>
      </c>
      <c r="AV7" s="25">
        <v>1</v>
      </c>
      <c r="AW7" s="25">
        <v>37</v>
      </c>
      <c r="AX7" s="25">
        <v>25</v>
      </c>
      <c r="AY7" s="25">
        <v>0</v>
      </c>
      <c r="AZ7" s="25">
        <v>4</v>
      </c>
      <c r="BA7" s="25">
        <v>0</v>
      </c>
      <c r="BB7" s="25">
        <v>0</v>
      </c>
      <c r="BC7" s="25">
        <v>0</v>
      </c>
      <c r="BD7" s="25">
        <v>0</v>
      </c>
      <c r="BE7" s="25">
        <v>0</v>
      </c>
      <c r="BF7" s="25">
        <v>0</v>
      </c>
      <c r="BG7" s="25">
        <v>0</v>
      </c>
      <c r="BH7" s="25">
        <v>0</v>
      </c>
      <c r="BI7" s="25">
        <v>0</v>
      </c>
      <c r="BJ7" s="25">
        <v>0</v>
      </c>
      <c r="BK7" s="25">
        <v>0</v>
      </c>
      <c r="BL7" s="25">
        <v>0</v>
      </c>
      <c r="BM7" s="25">
        <v>0</v>
      </c>
      <c r="BN7" s="25">
        <v>0</v>
      </c>
      <c r="BO7" s="25">
        <v>0</v>
      </c>
      <c r="BP7" s="25">
        <v>0</v>
      </c>
      <c r="BQ7" s="25">
        <v>0</v>
      </c>
      <c r="BR7" s="25">
        <v>0</v>
      </c>
      <c r="BS7" s="25">
        <v>0</v>
      </c>
      <c r="BT7" s="25">
        <v>0</v>
      </c>
      <c r="BU7" s="25">
        <v>0</v>
      </c>
      <c r="BV7" s="25">
        <v>0</v>
      </c>
      <c r="BW7" s="25">
        <v>0</v>
      </c>
      <c r="BX7" s="25">
        <f t="shared" si="11"/>
        <v>245</v>
      </c>
      <c r="BY7" s="25">
        <f t="shared" si="3"/>
        <v>165</v>
      </c>
      <c r="BZ7" s="25">
        <v>0</v>
      </c>
      <c r="CA7" s="25">
        <v>0</v>
      </c>
      <c r="CB7" s="25">
        <v>0</v>
      </c>
      <c r="CC7" s="25">
        <v>0</v>
      </c>
      <c r="CD7" s="25">
        <v>0</v>
      </c>
      <c r="CE7" s="25">
        <v>0</v>
      </c>
      <c r="CF7" s="25">
        <v>0</v>
      </c>
      <c r="CG7" s="25">
        <v>0</v>
      </c>
      <c r="CH7" s="25">
        <v>0</v>
      </c>
      <c r="CI7" s="25">
        <v>0</v>
      </c>
      <c r="CJ7" s="25">
        <v>0</v>
      </c>
      <c r="CK7" s="25">
        <v>0</v>
      </c>
      <c r="CL7" s="25">
        <v>0</v>
      </c>
      <c r="CM7" s="25">
        <v>0</v>
      </c>
      <c r="CN7" s="25">
        <v>0</v>
      </c>
      <c r="CO7" s="25">
        <v>0</v>
      </c>
      <c r="CP7" s="25">
        <v>0</v>
      </c>
      <c r="CQ7" s="25">
        <v>0</v>
      </c>
      <c r="CR7" s="25">
        <v>0</v>
      </c>
      <c r="CS7" s="25">
        <v>0</v>
      </c>
      <c r="CT7" s="25">
        <v>0</v>
      </c>
      <c r="CU7" s="25">
        <v>0</v>
      </c>
      <c r="CV7" s="25">
        <v>0</v>
      </c>
      <c r="CW7" s="25">
        <v>0</v>
      </c>
      <c r="CX7" s="25">
        <v>0</v>
      </c>
      <c r="CY7" s="25">
        <v>0</v>
      </c>
      <c r="CZ7" s="25">
        <v>0</v>
      </c>
      <c r="DA7" s="25">
        <v>0</v>
      </c>
      <c r="DB7" s="25">
        <v>0</v>
      </c>
      <c r="DC7" s="25">
        <v>0</v>
      </c>
      <c r="DD7" s="25">
        <v>0</v>
      </c>
      <c r="DE7" s="25">
        <v>0</v>
      </c>
      <c r="DF7" s="25">
        <v>0</v>
      </c>
      <c r="DG7" s="25">
        <v>0</v>
      </c>
      <c r="DH7" s="25">
        <v>0</v>
      </c>
      <c r="DI7" s="25">
        <v>0</v>
      </c>
      <c r="DJ7" s="25">
        <f t="shared" si="12"/>
        <v>0</v>
      </c>
      <c r="DK7" s="25">
        <f t="shared" si="13"/>
        <v>0</v>
      </c>
      <c r="DL7" s="25">
        <v>0</v>
      </c>
      <c r="DM7" s="25">
        <v>0</v>
      </c>
      <c r="DN7" s="25">
        <v>0</v>
      </c>
      <c r="DO7" s="25">
        <v>0</v>
      </c>
      <c r="DP7" s="25">
        <v>0</v>
      </c>
      <c r="DQ7" s="25">
        <v>0</v>
      </c>
      <c r="DR7" s="25">
        <v>0</v>
      </c>
      <c r="DS7" s="25">
        <v>0</v>
      </c>
      <c r="DT7" s="25">
        <v>0</v>
      </c>
      <c r="DU7" s="25">
        <v>0</v>
      </c>
      <c r="DV7" s="25">
        <v>0</v>
      </c>
      <c r="DW7" s="25">
        <v>0</v>
      </c>
      <c r="DX7" s="25">
        <v>0</v>
      </c>
      <c r="DY7" s="25">
        <v>0</v>
      </c>
      <c r="DZ7" s="25">
        <v>0</v>
      </c>
      <c r="EA7" s="25">
        <v>0</v>
      </c>
      <c r="EB7" s="25">
        <v>0</v>
      </c>
      <c r="EC7" s="25">
        <v>0</v>
      </c>
      <c r="ED7" s="25">
        <v>0</v>
      </c>
      <c r="EE7" s="25">
        <v>0</v>
      </c>
      <c r="EF7" s="25">
        <v>0</v>
      </c>
      <c r="EG7" s="25">
        <v>0</v>
      </c>
      <c r="EH7" s="25">
        <v>0</v>
      </c>
      <c r="EI7" s="25">
        <v>0</v>
      </c>
      <c r="EJ7" s="25">
        <v>0</v>
      </c>
      <c r="EK7" s="25">
        <v>0</v>
      </c>
      <c r="EL7" s="25">
        <v>0</v>
      </c>
      <c r="EM7" s="25">
        <v>0</v>
      </c>
      <c r="EN7" s="25">
        <v>0</v>
      </c>
      <c r="EO7" s="25">
        <v>0</v>
      </c>
      <c r="EP7" s="25">
        <v>0</v>
      </c>
      <c r="EQ7" s="25">
        <v>0</v>
      </c>
      <c r="ER7" s="25">
        <v>0</v>
      </c>
      <c r="ES7" s="25">
        <v>0</v>
      </c>
      <c r="ET7" s="25">
        <v>0</v>
      </c>
      <c r="EU7" s="25">
        <v>0</v>
      </c>
      <c r="EV7" s="25">
        <f t="shared" si="14"/>
        <v>0</v>
      </c>
      <c r="EW7" s="25">
        <f t="shared" si="15"/>
        <v>0</v>
      </c>
      <c r="EX7" s="25">
        <v>0</v>
      </c>
      <c r="EY7" s="25">
        <v>0</v>
      </c>
      <c r="EZ7" s="25">
        <v>0</v>
      </c>
      <c r="FA7" s="25">
        <v>0</v>
      </c>
      <c r="FB7" s="25">
        <v>0</v>
      </c>
      <c r="FC7" s="25">
        <v>0</v>
      </c>
      <c r="FD7" s="25">
        <v>2</v>
      </c>
      <c r="FE7" s="25">
        <v>2</v>
      </c>
      <c r="FF7" s="25">
        <v>0</v>
      </c>
      <c r="FG7" s="25">
        <v>5</v>
      </c>
      <c r="FH7" s="25">
        <v>5</v>
      </c>
      <c r="FI7" s="25">
        <v>0</v>
      </c>
      <c r="FJ7" s="25">
        <v>76</v>
      </c>
      <c r="FK7" s="25">
        <v>65</v>
      </c>
      <c r="FL7" s="25">
        <v>1</v>
      </c>
      <c r="FM7" s="25">
        <v>179</v>
      </c>
      <c r="FN7" s="25">
        <v>142</v>
      </c>
      <c r="FO7" s="25">
        <v>5</v>
      </c>
      <c r="FP7" s="25">
        <v>87</v>
      </c>
      <c r="FQ7" s="25">
        <v>69</v>
      </c>
      <c r="FR7" s="25">
        <v>4</v>
      </c>
      <c r="FS7" s="25">
        <v>171</v>
      </c>
      <c r="FT7" s="25">
        <v>151</v>
      </c>
      <c r="FU7" s="25">
        <v>5</v>
      </c>
      <c r="FV7" s="25">
        <v>278</v>
      </c>
      <c r="FW7" s="25">
        <v>242</v>
      </c>
      <c r="FX7" s="25">
        <v>5</v>
      </c>
      <c r="FY7" s="25">
        <v>404</v>
      </c>
      <c r="FZ7" s="25">
        <v>355</v>
      </c>
      <c r="GA7" s="25">
        <v>12</v>
      </c>
      <c r="GB7" s="25">
        <v>485</v>
      </c>
      <c r="GC7" s="25">
        <v>401</v>
      </c>
      <c r="GD7" s="25">
        <v>14</v>
      </c>
      <c r="GE7" s="25">
        <v>1106</v>
      </c>
      <c r="GF7" s="25">
        <v>897</v>
      </c>
      <c r="GG7" s="25">
        <v>26</v>
      </c>
      <c r="GH7" s="25">
        <f t="shared" si="0"/>
        <v>2793</v>
      </c>
      <c r="GI7" s="25">
        <f t="shared" si="1"/>
        <v>2329</v>
      </c>
      <c r="GJ7" s="25">
        <v>2478</v>
      </c>
      <c r="GK7" s="25">
        <v>470</v>
      </c>
      <c r="GL7" s="25">
        <v>42</v>
      </c>
      <c r="GM7" s="25">
        <v>654</v>
      </c>
      <c r="GN7" s="25">
        <v>504</v>
      </c>
      <c r="GO7" s="25">
        <v>23</v>
      </c>
      <c r="GP7" s="25">
        <v>600</v>
      </c>
      <c r="GQ7" s="25">
        <v>456</v>
      </c>
      <c r="GR7" s="25">
        <v>16</v>
      </c>
      <c r="GS7" s="25">
        <v>299</v>
      </c>
      <c r="GT7" s="25">
        <v>217</v>
      </c>
      <c r="GU7" s="25">
        <v>5</v>
      </c>
      <c r="GV7" s="25">
        <v>126</v>
      </c>
      <c r="GW7" s="25">
        <v>105</v>
      </c>
      <c r="GX7" s="25">
        <v>2</v>
      </c>
      <c r="GY7" s="25">
        <v>88</v>
      </c>
      <c r="GZ7" s="25">
        <v>79</v>
      </c>
      <c r="HA7" s="25">
        <v>1</v>
      </c>
      <c r="HB7" s="25">
        <v>51</v>
      </c>
      <c r="HC7" s="25">
        <v>38</v>
      </c>
      <c r="HD7" s="25">
        <v>3</v>
      </c>
      <c r="HE7" s="25">
        <v>11</v>
      </c>
      <c r="HF7" s="25">
        <v>9</v>
      </c>
      <c r="HG7" s="25">
        <v>0</v>
      </c>
      <c r="HH7" s="25">
        <v>1</v>
      </c>
      <c r="HI7" s="25">
        <v>1</v>
      </c>
      <c r="HJ7" s="25">
        <v>0</v>
      </c>
      <c r="HK7" s="25">
        <v>0</v>
      </c>
      <c r="HL7" s="25">
        <v>0</v>
      </c>
      <c r="HM7" s="25">
        <v>0</v>
      </c>
      <c r="HN7" s="25">
        <v>0</v>
      </c>
      <c r="HO7" s="25">
        <v>0</v>
      </c>
      <c r="HP7" s="25">
        <v>0</v>
      </c>
      <c r="HQ7" s="25">
        <v>1</v>
      </c>
      <c r="HR7" s="25">
        <v>1</v>
      </c>
      <c r="HS7" s="25">
        <v>0</v>
      </c>
      <c r="HT7" s="25">
        <f t="shared" si="4"/>
        <v>4309</v>
      </c>
      <c r="HU7" s="25">
        <f t="shared" si="2"/>
        <v>1880</v>
      </c>
      <c r="HV7" s="25">
        <v>0</v>
      </c>
      <c r="HW7" s="25">
        <v>0</v>
      </c>
      <c r="HX7" s="25">
        <v>0</v>
      </c>
      <c r="HY7" s="25">
        <v>0</v>
      </c>
      <c r="HZ7" s="25">
        <v>0</v>
      </c>
      <c r="IA7" s="25">
        <v>0</v>
      </c>
      <c r="IB7" s="25">
        <v>14</v>
      </c>
      <c r="IC7" s="25">
        <v>14</v>
      </c>
      <c r="ID7" s="25">
        <v>0</v>
      </c>
      <c r="IE7" s="25">
        <v>42</v>
      </c>
      <c r="IF7" s="25">
        <v>39</v>
      </c>
      <c r="IG7" s="25">
        <v>1</v>
      </c>
      <c r="IH7" s="25">
        <v>7</v>
      </c>
      <c r="II7" s="25">
        <v>6</v>
      </c>
      <c r="IJ7" s="25">
        <v>0</v>
      </c>
      <c r="IK7" s="25">
        <v>14</v>
      </c>
      <c r="IL7" s="25">
        <v>14</v>
      </c>
      <c r="IM7" s="25">
        <v>0</v>
      </c>
      <c r="IN7" s="25">
        <v>3</v>
      </c>
      <c r="IO7" s="25">
        <v>3</v>
      </c>
      <c r="IP7" s="25">
        <v>0</v>
      </c>
      <c r="IQ7" s="25">
        <v>2</v>
      </c>
      <c r="IR7" s="25">
        <v>2</v>
      </c>
      <c r="IS7" s="25">
        <v>0</v>
      </c>
      <c r="IT7" s="25">
        <v>0</v>
      </c>
      <c r="IU7" s="25">
        <v>0</v>
      </c>
      <c r="IV7" s="25">
        <v>0</v>
      </c>
      <c r="IW7" s="25">
        <v>0</v>
      </c>
      <c r="IX7" s="25">
        <v>0</v>
      </c>
      <c r="IY7" s="25">
        <v>0</v>
      </c>
      <c r="IZ7" s="25">
        <v>7</v>
      </c>
      <c r="JA7" s="25">
        <v>7</v>
      </c>
      <c r="JB7" s="25">
        <v>0</v>
      </c>
      <c r="JC7" s="25">
        <v>33</v>
      </c>
      <c r="JD7" s="25">
        <v>32</v>
      </c>
      <c r="JE7" s="25">
        <v>0</v>
      </c>
      <c r="JF7" s="25">
        <f t="shared" si="5"/>
        <v>122</v>
      </c>
      <c r="JG7" s="25">
        <f t="shared" si="6"/>
        <v>110</v>
      </c>
      <c r="JH7" s="25">
        <v>146</v>
      </c>
      <c r="JI7" s="25">
        <v>135</v>
      </c>
      <c r="JJ7" s="25">
        <v>1</v>
      </c>
      <c r="JK7" s="25">
        <v>191</v>
      </c>
      <c r="JL7" s="25">
        <v>166</v>
      </c>
      <c r="JM7" s="25">
        <v>2</v>
      </c>
      <c r="JN7" s="25">
        <v>120</v>
      </c>
      <c r="JO7" s="25">
        <v>109</v>
      </c>
      <c r="JP7" s="25">
        <v>0</v>
      </c>
      <c r="JQ7" s="25">
        <v>64</v>
      </c>
      <c r="JR7" s="25">
        <v>52</v>
      </c>
      <c r="JS7" s="25">
        <v>1</v>
      </c>
      <c r="JT7" s="25">
        <v>44</v>
      </c>
      <c r="JU7" s="25">
        <v>37</v>
      </c>
      <c r="JV7" s="25">
        <v>0</v>
      </c>
      <c r="JW7" s="25">
        <v>23</v>
      </c>
      <c r="JX7" s="25">
        <v>20</v>
      </c>
      <c r="JY7" s="25">
        <v>0</v>
      </c>
      <c r="JZ7" s="25">
        <v>12</v>
      </c>
      <c r="KA7" s="25">
        <v>12</v>
      </c>
      <c r="KB7" s="25">
        <v>0</v>
      </c>
      <c r="KC7" s="26">
        <f t="shared" si="7"/>
        <v>600</v>
      </c>
      <c r="KD7" s="26">
        <f t="shared" si="8"/>
        <v>531</v>
      </c>
    </row>
    <row r="8" spans="1:290" x14ac:dyDescent="0.3">
      <c r="A8" s="33" t="s">
        <v>3</v>
      </c>
      <c r="B8" s="25">
        <v>189</v>
      </c>
      <c r="C8" s="25">
        <v>169</v>
      </c>
      <c r="D8" s="25">
        <v>0</v>
      </c>
      <c r="E8" s="25">
        <v>158</v>
      </c>
      <c r="F8" s="25">
        <v>121</v>
      </c>
      <c r="G8" s="25">
        <v>0</v>
      </c>
      <c r="H8" s="25">
        <v>167</v>
      </c>
      <c r="I8" s="25">
        <v>114</v>
      </c>
      <c r="J8" s="25">
        <v>2</v>
      </c>
      <c r="K8" s="25">
        <v>86</v>
      </c>
      <c r="L8" s="25">
        <v>58</v>
      </c>
      <c r="M8" s="25">
        <v>0</v>
      </c>
      <c r="N8" s="25">
        <v>62</v>
      </c>
      <c r="O8" s="25">
        <v>35</v>
      </c>
      <c r="P8" s="25">
        <v>1</v>
      </c>
      <c r="Q8" s="25">
        <v>46</v>
      </c>
      <c r="R8" s="25">
        <v>26</v>
      </c>
      <c r="S8" s="25">
        <v>0</v>
      </c>
      <c r="T8" s="25">
        <v>34</v>
      </c>
      <c r="U8" s="25">
        <v>30</v>
      </c>
      <c r="V8" s="25">
        <v>0</v>
      </c>
      <c r="W8" s="25">
        <v>16</v>
      </c>
      <c r="X8" s="25">
        <v>12</v>
      </c>
      <c r="Y8" s="25">
        <v>0</v>
      </c>
      <c r="Z8" s="25">
        <v>6</v>
      </c>
      <c r="AA8" s="25">
        <v>4</v>
      </c>
      <c r="AB8" s="25">
        <v>0</v>
      </c>
      <c r="AC8" s="25">
        <v>0</v>
      </c>
      <c r="AD8" s="25">
        <v>0</v>
      </c>
      <c r="AE8" s="25">
        <v>0</v>
      </c>
      <c r="AF8" s="25">
        <v>4</v>
      </c>
      <c r="AG8" s="25">
        <v>4</v>
      </c>
      <c r="AH8" s="25">
        <v>0</v>
      </c>
      <c r="AI8" s="25">
        <v>6</v>
      </c>
      <c r="AJ8" s="25">
        <v>5</v>
      </c>
      <c r="AK8" s="25">
        <v>0</v>
      </c>
      <c r="AL8" s="25">
        <f t="shared" si="9"/>
        <v>774</v>
      </c>
      <c r="AM8" s="25">
        <f t="shared" si="10"/>
        <v>578</v>
      </c>
      <c r="AN8" s="25">
        <v>17</v>
      </c>
      <c r="AO8" s="25">
        <v>14</v>
      </c>
      <c r="AP8" s="25">
        <v>1</v>
      </c>
      <c r="AQ8" s="25">
        <v>34</v>
      </c>
      <c r="AR8" s="25">
        <v>23</v>
      </c>
      <c r="AS8" s="25">
        <v>0</v>
      </c>
      <c r="AT8" s="25">
        <v>26</v>
      </c>
      <c r="AU8" s="25">
        <v>23</v>
      </c>
      <c r="AV8" s="25">
        <v>0</v>
      </c>
      <c r="AW8" s="25">
        <v>25</v>
      </c>
      <c r="AX8" s="25">
        <v>21</v>
      </c>
      <c r="AY8" s="25">
        <v>0</v>
      </c>
      <c r="AZ8" s="25">
        <v>0</v>
      </c>
      <c r="BA8" s="25">
        <v>0</v>
      </c>
      <c r="BB8" s="25">
        <v>0</v>
      </c>
      <c r="BC8" s="25">
        <v>0</v>
      </c>
      <c r="BD8" s="25">
        <v>0</v>
      </c>
      <c r="BE8" s="25">
        <v>0</v>
      </c>
      <c r="BF8" s="25">
        <v>0</v>
      </c>
      <c r="BG8" s="25">
        <v>0</v>
      </c>
      <c r="BH8" s="25">
        <v>0</v>
      </c>
      <c r="BI8" s="25">
        <v>0</v>
      </c>
      <c r="BJ8" s="25">
        <v>0</v>
      </c>
      <c r="BK8" s="25">
        <v>0</v>
      </c>
      <c r="BL8" s="25">
        <v>0</v>
      </c>
      <c r="BM8" s="25">
        <v>0</v>
      </c>
      <c r="BN8" s="25">
        <v>0</v>
      </c>
      <c r="BO8" s="25">
        <v>0</v>
      </c>
      <c r="BP8" s="25">
        <v>0</v>
      </c>
      <c r="BQ8" s="25">
        <v>0</v>
      </c>
      <c r="BR8" s="25">
        <v>0</v>
      </c>
      <c r="BS8" s="25">
        <v>0</v>
      </c>
      <c r="BT8" s="25">
        <v>0</v>
      </c>
      <c r="BU8" s="25">
        <v>0</v>
      </c>
      <c r="BV8" s="25">
        <v>0</v>
      </c>
      <c r="BW8" s="25">
        <v>0</v>
      </c>
      <c r="BX8" s="25">
        <f t="shared" si="11"/>
        <v>102</v>
      </c>
      <c r="BY8" s="25">
        <f t="shared" si="3"/>
        <v>81</v>
      </c>
      <c r="BZ8" s="25">
        <v>0</v>
      </c>
      <c r="CA8" s="25">
        <v>0</v>
      </c>
      <c r="CB8" s="25">
        <v>0</v>
      </c>
      <c r="CC8" s="25">
        <v>0</v>
      </c>
      <c r="CD8" s="25">
        <v>0</v>
      </c>
      <c r="CE8" s="25">
        <v>0</v>
      </c>
      <c r="CF8" s="25">
        <v>0</v>
      </c>
      <c r="CG8" s="25">
        <v>0</v>
      </c>
      <c r="CH8" s="25">
        <v>0</v>
      </c>
      <c r="CI8" s="25">
        <v>0</v>
      </c>
      <c r="CJ8" s="25">
        <v>0</v>
      </c>
      <c r="CK8" s="25">
        <v>0</v>
      </c>
      <c r="CL8" s="25">
        <v>0</v>
      </c>
      <c r="CM8" s="25">
        <v>0</v>
      </c>
      <c r="CN8" s="25">
        <v>0</v>
      </c>
      <c r="CO8" s="25">
        <v>0</v>
      </c>
      <c r="CP8" s="25">
        <v>0</v>
      </c>
      <c r="CQ8" s="25">
        <v>0</v>
      </c>
      <c r="CR8" s="25">
        <v>0</v>
      </c>
      <c r="CS8" s="25">
        <v>0</v>
      </c>
      <c r="CT8" s="25">
        <v>0</v>
      </c>
      <c r="CU8" s="25">
        <v>0</v>
      </c>
      <c r="CV8" s="25">
        <v>0</v>
      </c>
      <c r="CW8" s="25">
        <v>0</v>
      </c>
      <c r="CX8" s="25">
        <v>0</v>
      </c>
      <c r="CY8" s="25">
        <v>0</v>
      </c>
      <c r="CZ8" s="25">
        <v>0</v>
      </c>
      <c r="DA8" s="25">
        <v>0</v>
      </c>
      <c r="DB8" s="25">
        <v>0</v>
      </c>
      <c r="DC8" s="25">
        <v>0</v>
      </c>
      <c r="DD8" s="25">
        <v>0</v>
      </c>
      <c r="DE8" s="25">
        <v>0</v>
      </c>
      <c r="DF8" s="25">
        <v>0</v>
      </c>
      <c r="DG8" s="25">
        <v>0</v>
      </c>
      <c r="DH8" s="25">
        <v>0</v>
      </c>
      <c r="DI8" s="25">
        <v>0</v>
      </c>
      <c r="DJ8" s="25">
        <f t="shared" si="12"/>
        <v>0</v>
      </c>
      <c r="DK8" s="25">
        <f t="shared" si="13"/>
        <v>0</v>
      </c>
      <c r="DL8" s="25">
        <v>0</v>
      </c>
      <c r="DM8" s="25">
        <v>0</v>
      </c>
      <c r="DN8" s="25">
        <v>0</v>
      </c>
      <c r="DO8" s="25">
        <v>0</v>
      </c>
      <c r="DP8" s="25">
        <v>0</v>
      </c>
      <c r="DQ8" s="25">
        <v>0</v>
      </c>
      <c r="DR8" s="25">
        <v>0</v>
      </c>
      <c r="DS8" s="25">
        <v>0</v>
      </c>
      <c r="DT8" s="25">
        <v>0</v>
      </c>
      <c r="DU8" s="25">
        <v>0</v>
      </c>
      <c r="DV8" s="25">
        <v>0</v>
      </c>
      <c r="DW8" s="25">
        <v>0</v>
      </c>
      <c r="DX8" s="25">
        <v>0</v>
      </c>
      <c r="DY8" s="25">
        <v>0</v>
      </c>
      <c r="DZ8" s="25">
        <v>0</v>
      </c>
      <c r="EA8" s="25">
        <v>0</v>
      </c>
      <c r="EB8" s="25">
        <v>0</v>
      </c>
      <c r="EC8" s="25">
        <v>0</v>
      </c>
      <c r="ED8" s="25">
        <v>0</v>
      </c>
      <c r="EE8" s="25">
        <v>0</v>
      </c>
      <c r="EF8" s="25">
        <v>0</v>
      </c>
      <c r="EG8" s="25">
        <v>0</v>
      </c>
      <c r="EH8" s="25">
        <v>0</v>
      </c>
      <c r="EI8" s="25">
        <v>0</v>
      </c>
      <c r="EJ8" s="25">
        <v>0</v>
      </c>
      <c r="EK8" s="25">
        <v>0</v>
      </c>
      <c r="EL8" s="25">
        <v>0</v>
      </c>
      <c r="EM8" s="25">
        <v>0</v>
      </c>
      <c r="EN8" s="25">
        <v>0</v>
      </c>
      <c r="EO8" s="25">
        <v>0</v>
      </c>
      <c r="EP8" s="25">
        <v>0</v>
      </c>
      <c r="EQ8" s="25">
        <v>0</v>
      </c>
      <c r="ER8" s="25">
        <v>0</v>
      </c>
      <c r="ES8" s="25">
        <v>0</v>
      </c>
      <c r="ET8" s="25">
        <v>0</v>
      </c>
      <c r="EU8" s="25">
        <v>0</v>
      </c>
      <c r="EV8" s="25">
        <f t="shared" si="14"/>
        <v>0</v>
      </c>
      <c r="EW8" s="25">
        <f t="shared" si="15"/>
        <v>0</v>
      </c>
      <c r="EX8" s="25">
        <v>0</v>
      </c>
      <c r="EY8" s="25">
        <v>0</v>
      </c>
      <c r="EZ8" s="25">
        <v>0</v>
      </c>
      <c r="FA8" s="25">
        <v>0</v>
      </c>
      <c r="FB8" s="25">
        <v>0</v>
      </c>
      <c r="FC8" s="25">
        <v>0</v>
      </c>
      <c r="FD8" s="25">
        <v>3</v>
      </c>
      <c r="FE8" s="25">
        <v>3</v>
      </c>
      <c r="FF8" s="25">
        <v>0</v>
      </c>
      <c r="FG8" s="25">
        <v>7</v>
      </c>
      <c r="FH8" s="25">
        <v>7</v>
      </c>
      <c r="FI8" s="25">
        <v>0</v>
      </c>
      <c r="FJ8" s="25">
        <v>57</v>
      </c>
      <c r="FK8" s="25">
        <v>47</v>
      </c>
      <c r="FL8" s="25">
        <v>0</v>
      </c>
      <c r="FM8" s="25">
        <v>62</v>
      </c>
      <c r="FN8" s="25">
        <v>54</v>
      </c>
      <c r="FO8" s="25">
        <v>1</v>
      </c>
      <c r="FP8" s="25">
        <v>93</v>
      </c>
      <c r="FQ8" s="25">
        <v>82</v>
      </c>
      <c r="FR8" s="25">
        <v>0</v>
      </c>
      <c r="FS8" s="25">
        <v>37</v>
      </c>
      <c r="FT8" s="25">
        <v>33</v>
      </c>
      <c r="FU8" s="25">
        <v>0</v>
      </c>
      <c r="FV8" s="25">
        <v>260</v>
      </c>
      <c r="FW8" s="25">
        <v>224</v>
      </c>
      <c r="FX8" s="25">
        <v>2</v>
      </c>
      <c r="FY8" s="25">
        <v>422</v>
      </c>
      <c r="FZ8" s="25">
        <v>368</v>
      </c>
      <c r="GA8" s="25">
        <v>6</v>
      </c>
      <c r="GB8" s="25">
        <v>436</v>
      </c>
      <c r="GC8" s="25">
        <v>345</v>
      </c>
      <c r="GD8" s="25">
        <v>8</v>
      </c>
      <c r="GE8" s="25">
        <v>456</v>
      </c>
      <c r="GF8" s="25">
        <v>309</v>
      </c>
      <c r="GG8" s="25">
        <v>30</v>
      </c>
      <c r="GH8" s="25">
        <f t="shared" si="0"/>
        <v>1833</v>
      </c>
      <c r="GI8" s="25">
        <f t="shared" si="1"/>
        <v>1472</v>
      </c>
      <c r="GJ8" s="25">
        <v>2252</v>
      </c>
      <c r="GK8" s="25">
        <v>972</v>
      </c>
      <c r="GL8" s="25">
        <v>34</v>
      </c>
      <c r="GM8" s="25">
        <v>594</v>
      </c>
      <c r="GN8" s="25">
        <v>477</v>
      </c>
      <c r="GO8" s="25">
        <v>15</v>
      </c>
      <c r="GP8" s="25">
        <v>166</v>
      </c>
      <c r="GQ8" s="25">
        <v>129</v>
      </c>
      <c r="GR8" s="25">
        <v>2</v>
      </c>
      <c r="GS8" s="25">
        <v>103</v>
      </c>
      <c r="GT8" s="25">
        <v>88</v>
      </c>
      <c r="GU8" s="25">
        <v>2</v>
      </c>
      <c r="GV8" s="25">
        <v>74</v>
      </c>
      <c r="GW8" s="25">
        <v>62</v>
      </c>
      <c r="GX8" s="25">
        <v>0</v>
      </c>
      <c r="GY8" s="25">
        <v>48</v>
      </c>
      <c r="GZ8" s="25">
        <v>43</v>
      </c>
      <c r="HA8" s="25">
        <v>0</v>
      </c>
      <c r="HB8" s="25">
        <v>34</v>
      </c>
      <c r="HC8" s="25">
        <v>28</v>
      </c>
      <c r="HD8" s="25">
        <v>1</v>
      </c>
      <c r="HE8" s="25">
        <v>5</v>
      </c>
      <c r="HF8" s="25">
        <v>3</v>
      </c>
      <c r="HG8" s="25">
        <v>0</v>
      </c>
      <c r="HH8" s="25">
        <v>0</v>
      </c>
      <c r="HI8" s="25">
        <v>0</v>
      </c>
      <c r="HJ8" s="25">
        <v>0</v>
      </c>
      <c r="HK8" s="25">
        <v>0</v>
      </c>
      <c r="HL8" s="25">
        <v>0</v>
      </c>
      <c r="HM8" s="25">
        <v>0</v>
      </c>
      <c r="HN8" s="25">
        <v>0</v>
      </c>
      <c r="HO8" s="25">
        <v>0</v>
      </c>
      <c r="HP8" s="25">
        <v>0</v>
      </c>
      <c r="HQ8" s="25">
        <v>0</v>
      </c>
      <c r="HR8" s="25">
        <v>0</v>
      </c>
      <c r="HS8" s="25">
        <v>0</v>
      </c>
      <c r="HT8" s="25">
        <f t="shared" si="4"/>
        <v>3276</v>
      </c>
      <c r="HU8" s="25">
        <f t="shared" si="2"/>
        <v>1802</v>
      </c>
      <c r="HV8" s="25">
        <v>4</v>
      </c>
      <c r="HW8" s="25">
        <v>3</v>
      </c>
      <c r="HX8" s="25">
        <v>0</v>
      </c>
      <c r="HY8" s="25">
        <v>8</v>
      </c>
      <c r="HZ8" s="25">
        <v>7</v>
      </c>
      <c r="IA8" s="25">
        <v>0</v>
      </c>
      <c r="IB8" s="25">
        <v>27</v>
      </c>
      <c r="IC8" s="25">
        <v>24</v>
      </c>
      <c r="ID8" s="25">
        <v>1</v>
      </c>
      <c r="IE8" s="25">
        <v>39</v>
      </c>
      <c r="IF8" s="25">
        <v>36</v>
      </c>
      <c r="IG8" s="25">
        <v>0</v>
      </c>
      <c r="IH8" s="25">
        <v>28</v>
      </c>
      <c r="II8" s="25">
        <v>24</v>
      </c>
      <c r="IJ8" s="25">
        <v>0</v>
      </c>
      <c r="IK8" s="25">
        <v>6</v>
      </c>
      <c r="IL8" s="25">
        <v>5</v>
      </c>
      <c r="IM8" s="25">
        <v>0</v>
      </c>
      <c r="IN8" s="25">
        <v>0</v>
      </c>
      <c r="IO8" s="25">
        <v>0</v>
      </c>
      <c r="IP8" s="25">
        <v>0</v>
      </c>
      <c r="IQ8" s="25">
        <v>8</v>
      </c>
      <c r="IR8" s="25">
        <v>8</v>
      </c>
      <c r="IS8" s="25">
        <v>0</v>
      </c>
      <c r="IT8" s="25">
        <v>0</v>
      </c>
      <c r="IU8" s="25">
        <v>0</v>
      </c>
      <c r="IV8" s="25">
        <v>0</v>
      </c>
      <c r="IW8" s="25">
        <v>16</v>
      </c>
      <c r="IX8" s="25">
        <v>15</v>
      </c>
      <c r="IY8" s="25">
        <v>0</v>
      </c>
      <c r="IZ8" s="25">
        <v>62</v>
      </c>
      <c r="JA8" s="25">
        <v>60</v>
      </c>
      <c r="JB8" s="25">
        <v>1</v>
      </c>
      <c r="JC8" s="25">
        <v>106</v>
      </c>
      <c r="JD8" s="25">
        <v>103</v>
      </c>
      <c r="JE8" s="25">
        <v>0</v>
      </c>
      <c r="JF8" s="25">
        <f t="shared" si="5"/>
        <v>304</v>
      </c>
      <c r="JG8" s="25">
        <f t="shared" si="6"/>
        <v>225</v>
      </c>
      <c r="JH8" s="25">
        <v>110</v>
      </c>
      <c r="JI8" s="25">
        <v>100</v>
      </c>
      <c r="JJ8" s="25">
        <v>0</v>
      </c>
      <c r="JK8" s="25">
        <v>72</v>
      </c>
      <c r="JL8" s="25">
        <v>65</v>
      </c>
      <c r="JM8" s="25">
        <v>0</v>
      </c>
      <c r="JN8" s="25">
        <v>111</v>
      </c>
      <c r="JO8" s="25">
        <v>104</v>
      </c>
      <c r="JP8" s="25">
        <v>1</v>
      </c>
      <c r="JQ8" s="25">
        <v>60</v>
      </c>
      <c r="JR8" s="25">
        <v>49</v>
      </c>
      <c r="JS8" s="25">
        <v>0</v>
      </c>
      <c r="JT8" s="25">
        <v>31</v>
      </c>
      <c r="JU8" s="25">
        <v>25</v>
      </c>
      <c r="JV8" s="25">
        <v>1</v>
      </c>
      <c r="JW8" s="25">
        <v>18</v>
      </c>
      <c r="JX8" s="25">
        <v>13</v>
      </c>
      <c r="JY8" s="25">
        <v>2</v>
      </c>
      <c r="JZ8" s="25">
        <v>1</v>
      </c>
      <c r="KA8" s="25">
        <v>1</v>
      </c>
      <c r="KB8" s="25">
        <v>0</v>
      </c>
      <c r="KC8" s="26">
        <f t="shared" si="7"/>
        <v>403</v>
      </c>
      <c r="KD8" s="26">
        <f t="shared" si="8"/>
        <v>357</v>
      </c>
    </row>
    <row r="9" spans="1:290" x14ac:dyDescent="0.3">
      <c r="A9" s="33" t="s">
        <v>4</v>
      </c>
      <c r="B9" s="25">
        <v>7</v>
      </c>
      <c r="C9" s="25">
        <v>4</v>
      </c>
      <c r="D9" s="25">
        <v>2</v>
      </c>
      <c r="E9" s="25">
        <v>5</v>
      </c>
      <c r="F9" s="25">
        <v>3</v>
      </c>
      <c r="G9" s="25">
        <v>0</v>
      </c>
      <c r="H9" s="25">
        <v>4</v>
      </c>
      <c r="I9" s="25">
        <v>2</v>
      </c>
      <c r="J9" s="25">
        <v>0</v>
      </c>
      <c r="K9" s="25">
        <v>31</v>
      </c>
      <c r="L9" s="25">
        <v>17</v>
      </c>
      <c r="M9" s="25">
        <v>0</v>
      </c>
      <c r="N9" s="25">
        <v>11</v>
      </c>
      <c r="O9" s="25">
        <v>6</v>
      </c>
      <c r="P9" s="25">
        <v>0</v>
      </c>
      <c r="Q9" s="25">
        <v>9</v>
      </c>
      <c r="R9" s="25">
        <v>5</v>
      </c>
      <c r="S9" s="25">
        <v>0</v>
      </c>
      <c r="T9" s="25">
        <v>3</v>
      </c>
      <c r="U9" s="25">
        <v>3</v>
      </c>
      <c r="V9" s="25">
        <v>0</v>
      </c>
      <c r="W9" s="25">
        <v>2</v>
      </c>
      <c r="X9" s="25">
        <v>2</v>
      </c>
      <c r="Y9" s="25">
        <v>0</v>
      </c>
      <c r="Z9" s="25">
        <v>8</v>
      </c>
      <c r="AA9" s="25">
        <v>5</v>
      </c>
      <c r="AB9" s="25">
        <v>1</v>
      </c>
      <c r="AC9" s="25">
        <v>1</v>
      </c>
      <c r="AD9" s="25">
        <v>1</v>
      </c>
      <c r="AE9" s="25">
        <v>0</v>
      </c>
      <c r="AF9" s="25">
        <v>0</v>
      </c>
      <c r="AG9" s="25">
        <v>0</v>
      </c>
      <c r="AH9" s="25">
        <v>0</v>
      </c>
      <c r="AI9" s="25">
        <v>5</v>
      </c>
      <c r="AJ9" s="25">
        <v>2</v>
      </c>
      <c r="AK9" s="25">
        <v>0</v>
      </c>
      <c r="AL9" s="25">
        <f t="shared" si="9"/>
        <v>86</v>
      </c>
      <c r="AM9" s="25">
        <f t="shared" si="10"/>
        <v>50</v>
      </c>
      <c r="AN9" s="25">
        <v>37</v>
      </c>
      <c r="AO9" s="25">
        <v>26</v>
      </c>
      <c r="AP9" s="25">
        <v>1</v>
      </c>
      <c r="AQ9" s="25">
        <v>22</v>
      </c>
      <c r="AR9" s="25">
        <v>10</v>
      </c>
      <c r="AS9" s="25">
        <v>0</v>
      </c>
      <c r="AT9" s="25">
        <v>28</v>
      </c>
      <c r="AU9" s="25">
        <v>13</v>
      </c>
      <c r="AV9" s="25">
        <v>1</v>
      </c>
      <c r="AW9" s="25">
        <v>23</v>
      </c>
      <c r="AX9" s="25">
        <v>19</v>
      </c>
      <c r="AY9" s="25">
        <v>0</v>
      </c>
      <c r="AZ9" s="25">
        <v>14</v>
      </c>
      <c r="BA9" s="25">
        <v>9</v>
      </c>
      <c r="BB9" s="25">
        <v>3</v>
      </c>
      <c r="BC9" s="25">
        <v>6</v>
      </c>
      <c r="BD9" s="25">
        <v>0</v>
      </c>
      <c r="BE9" s="25">
        <v>0</v>
      </c>
      <c r="BF9" s="25">
        <v>0</v>
      </c>
      <c r="BG9" s="25">
        <v>0</v>
      </c>
      <c r="BH9" s="25">
        <v>0</v>
      </c>
      <c r="BI9" s="25">
        <v>0</v>
      </c>
      <c r="BJ9" s="25">
        <v>0</v>
      </c>
      <c r="BK9" s="25">
        <v>0</v>
      </c>
      <c r="BL9" s="25">
        <v>0</v>
      </c>
      <c r="BM9" s="25">
        <v>0</v>
      </c>
      <c r="BN9" s="25">
        <v>0</v>
      </c>
      <c r="BO9" s="25">
        <v>0</v>
      </c>
      <c r="BP9" s="25">
        <v>0</v>
      </c>
      <c r="BQ9" s="25">
        <v>0</v>
      </c>
      <c r="BR9" s="25">
        <v>0</v>
      </c>
      <c r="BS9" s="25">
        <v>0</v>
      </c>
      <c r="BT9" s="25">
        <v>0</v>
      </c>
      <c r="BU9" s="25">
        <v>0</v>
      </c>
      <c r="BV9" s="25">
        <v>0</v>
      </c>
      <c r="BW9" s="25">
        <v>0</v>
      </c>
      <c r="BX9" s="25">
        <f t="shared" si="11"/>
        <v>130</v>
      </c>
      <c r="BY9" s="25">
        <f t="shared" si="3"/>
        <v>77</v>
      </c>
      <c r="BZ9" s="25">
        <v>0</v>
      </c>
      <c r="CA9" s="25">
        <v>0</v>
      </c>
      <c r="CB9" s="25">
        <v>0</v>
      </c>
      <c r="CC9" s="25">
        <v>0</v>
      </c>
      <c r="CD9" s="25">
        <v>0</v>
      </c>
      <c r="CE9" s="25">
        <v>0</v>
      </c>
      <c r="CF9" s="25">
        <v>0</v>
      </c>
      <c r="CG9" s="25">
        <v>0</v>
      </c>
      <c r="CH9" s="25">
        <v>0</v>
      </c>
      <c r="CI9" s="25">
        <v>0</v>
      </c>
      <c r="CJ9" s="25">
        <v>0</v>
      </c>
      <c r="CK9" s="25">
        <v>0</v>
      </c>
      <c r="CL9" s="25">
        <v>0</v>
      </c>
      <c r="CM9" s="25">
        <v>0</v>
      </c>
      <c r="CN9" s="25">
        <v>0</v>
      </c>
      <c r="CO9" s="25">
        <v>0</v>
      </c>
      <c r="CP9" s="25">
        <v>0</v>
      </c>
      <c r="CQ9" s="25">
        <v>0</v>
      </c>
      <c r="CR9" s="25">
        <v>0</v>
      </c>
      <c r="CS9" s="25">
        <v>0</v>
      </c>
      <c r="CT9" s="25">
        <v>0</v>
      </c>
      <c r="CU9" s="25">
        <v>0</v>
      </c>
      <c r="CV9" s="25">
        <v>0</v>
      </c>
      <c r="CW9" s="25">
        <v>0</v>
      </c>
      <c r="CX9" s="25">
        <v>0</v>
      </c>
      <c r="CY9" s="25">
        <v>0</v>
      </c>
      <c r="CZ9" s="25">
        <v>0</v>
      </c>
      <c r="DA9" s="25">
        <v>0</v>
      </c>
      <c r="DB9" s="25">
        <v>0</v>
      </c>
      <c r="DC9" s="25">
        <v>0</v>
      </c>
      <c r="DD9" s="25">
        <v>0</v>
      </c>
      <c r="DE9" s="25">
        <v>0</v>
      </c>
      <c r="DF9" s="25">
        <v>0</v>
      </c>
      <c r="DG9" s="25">
        <v>0</v>
      </c>
      <c r="DH9" s="25">
        <v>0</v>
      </c>
      <c r="DI9" s="25">
        <v>0</v>
      </c>
      <c r="DJ9" s="25">
        <f t="shared" si="12"/>
        <v>0</v>
      </c>
      <c r="DK9" s="25">
        <f t="shared" si="13"/>
        <v>0</v>
      </c>
      <c r="DL9" s="25">
        <v>0</v>
      </c>
      <c r="DM9" s="25">
        <v>0</v>
      </c>
      <c r="DN9" s="25">
        <v>0</v>
      </c>
      <c r="DO9" s="25">
        <v>0</v>
      </c>
      <c r="DP9" s="25">
        <v>0</v>
      </c>
      <c r="DQ9" s="25">
        <v>0</v>
      </c>
      <c r="DR9" s="25">
        <v>0</v>
      </c>
      <c r="DS9" s="25">
        <v>0</v>
      </c>
      <c r="DT9" s="25">
        <v>0</v>
      </c>
      <c r="DU9" s="25">
        <v>0</v>
      </c>
      <c r="DV9" s="25">
        <v>0</v>
      </c>
      <c r="DW9" s="25">
        <v>0</v>
      </c>
      <c r="DX9" s="25">
        <v>0</v>
      </c>
      <c r="DY9" s="25">
        <v>0</v>
      </c>
      <c r="DZ9" s="25">
        <v>0</v>
      </c>
      <c r="EA9" s="25">
        <v>0</v>
      </c>
      <c r="EB9" s="25">
        <v>0</v>
      </c>
      <c r="EC9" s="25">
        <v>0</v>
      </c>
      <c r="ED9" s="25">
        <v>0</v>
      </c>
      <c r="EE9" s="25">
        <v>0</v>
      </c>
      <c r="EF9" s="25">
        <v>0</v>
      </c>
      <c r="EG9" s="25">
        <v>0</v>
      </c>
      <c r="EH9" s="25">
        <v>0</v>
      </c>
      <c r="EI9" s="25">
        <v>0</v>
      </c>
      <c r="EJ9" s="25">
        <v>0</v>
      </c>
      <c r="EK9" s="25">
        <v>0</v>
      </c>
      <c r="EL9" s="25">
        <v>0</v>
      </c>
      <c r="EM9" s="25">
        <v>0</v>
      </c>
      <c r="EN9" s="25">
        <v>0</v>
      </c>
      <c r="EO9" s="25">
        <v>0</v>
      </c>
      <c r="EP9" s="25">
        <v>0</v>
      </c>
      <c r="EQ9" s="25">
        <v>0</v>
      </c>
      <c r="ER9" s="25">
        <v>0</v>
      </c>
      <c r="ES9" s="25">
        <v>0</v>
      </c>
      <c r="ET9" s="25">
        <v>0</v>
      </c>
      <c r="EU9" s="25">
        <v>0</v>
      </c>
      <c r="EV9" s="25">
        <f t="shared" si="14"/>
        <v>0</v>
      </c>
      <c r="EW9" s="25">
        <f t="shared" si="15"/>
        <v>0</v>
      </c>
      <c r="EX9" s="25">
        <v>0</v>
      </c>
      <c r="EY9" s="25">
        <v>0</v>
      </c>
      <c r="EZ9" s="25">
        <v>0</v>
      </c>
      <c r="FA9" s="25">
        <v>0</v>
      </c>
      <c r="FB9" s="25">
        <v>0</v>
      </c>
      <c r="FC9" s="25">
        <v>0</v>
      </c>
      <c r="FD9" s="25">
        <v>0</v>
      </c>
      <c r="FE9" s="25">
        <v>0</v>
      </c>
      <c r="FF9" s="25">
        <v>0</v>
      </c>
      <c r="FG9" s="25">
        <v>0</v>
      </c>
      <c r="FH9" s="25">
        <v>0</v>
      </c>
      <c r="FI9" s="25">
        <v>0</v>
      </c>
      <c r="FJ9" s="25">
        <v>0</v>
      </c>
      <c r="FK9" s="25">
        <v>0</v>
      </c>
      <c r="FL9" s="25">
        <v>0</v>
      </c>
      <c r="FM9" s="25">
        <v>1</v>
      </c>
      <c r="FN9" s="25">
        <v>1</v>
      </c>
      <c r="FO9" s="25">
        <v>0</v>
      </c>
      <c r="FP9" s="25">
        <v>8</v>
      </c>
      <c r="FQ9" s="25">
        <v>6</v>
      </c>
      <c r="FR9" s="25">
        <v>0</v>
      </c>
      <c r="FS9" s="25">
        <v>13</v>
      </c>
      <c r="FT9" s="25">
        <v>11</v>
      </c>
      <c r="FU9" s="25">
        <v>1</v>
      </c>
      <c r="FV9" s="25">
        <v>7</v>
      </c>
      <c r="FW9" s="25">
        <v>6</v>
      </c>
      <c r="FX9" s="25">
        <v>0</v>
      </c>
      <c r="FY9" s="25">
        <v>31</v>
      </c>
      <c r="FZ9" s="25">
        <v>27</v>
      </c>
      <c r="GA9" s="25">
        <v>0</v>
      </c>
      <c r="GB9" s="25">
        <v>74</v>
      </c>
      <c r="GC9" s="25">
        <v>51</v>
      </c>
      <c r="GD9" s="25">
        <v>2</v>
      </c>
      <c r="GE9" s="25">
        <v>144</v>
      </c>
      <c r="GF9" s="25">
        <v>88</v>
      </c>
      <c r="GG9" s="25">
        <v>13</v>
      </c>
      <c r="GH9" s="25">
        <f t="shared" si="0"/>
        <v>278</v>
      </c>
      <c r="GI9" s="25">
        <f t="shared" si="1"/>
        <v>190</v>
      </c>
      <c r="GJ9" s="25">
        <v>361</v>
      </c>
      <c r="GK9" s="25">
        <v>36</v>
      </c>
      <c r="GL9" s="25">
        <v>5</v>
      </c>
      <c r="GM9" s="25">
        <v>130</v>
      </c>
      <c r="GN9" s="25">
        <v>41</v>
      </c>
      <c r="GO9" s="25">
        <v>17</v>
      </c>
      <c r="GP9" s="25">
        <v>75</v>
      </c>
      <c r="GQ9" s="25">
        <v>29</v>
      </c>
      <c r="GR9" s="25">
        <v>5</v>
      </c>
      <c r="GS9" s="25">
        <v>52</v>
      </c>
      <c r="GT9" s="25">
        <v>29</v>
      </c>
      <c r="GU9" s="25">
        <v>2</v>
      </c>
      <c r="GV9" s="25">
        <v>11</v>
      </c>
      <c r="GW9" s="25">
        <v>8</v>
      </c>
      <c r="GX9" s="25">
        <v>0</v>
      </c>
      <c r="GY9" s="25">
        <v>3</v>
      </c>
      <c r="GZ9" s="25">
        <v>1</v>
      </c>
      <c r="HA9" s="25">
        <v>0</v>
      </c>
      <c r="HB9" s="25">
        <v>1</v>
      </c>
      <c r="HC9" s="25">
        <v>1</v>
      </c>
      <c r="HD9" s="25">
        <v>0</v>
      </c>
      <c r="HE9" s="25">
        <v>0</v>
      </c>
      <c r="HF9" s="25">
        <v>0</v>
      </c>
      <c r="HG9" s="25">
        <v>0</v>
      </c>
      <c r="HH9" s="25">
        <v>0</v>
      </c>
      <c r="HI9" s="25">
        <v>0</v>
      </c>
      <c r="HJ9" s="25">
        <v>0</v>
      </c>
      <c r="HK9" s="25">
        <v>0</v>
      </c>
      <c r="HL9" s="25">
        <v>0</v>
      </c>
      <c r="HM9" s="25">
        <v>0</v>
      </c>
      <c r="HN9" s="25">
        <v>0</v>
      </c>
      <c r="HO9" s="25">
        <v>0</v>
      </c>
      <c r="HP9" s="25">
        <v>0</v>
      </c>
      <c r="HQ9" s="25">
        <v>0</v>
      </c>
      <c r="HR9" s="25">
        <v>0</v>
      </c>
      <c r="HS9" s="25">
        <v>0</v>
      </c>
      <c r="HT9" s="25">
        <f t="shared" si="4"/>
        <v>633</v>
      </c>
      <c r="HU9" s="25">
        <f t="shared" si="2"/>
        <v>145</v>
      </c>
      <c r="HV9" s="25">
        <v>0</v>
      </c>
      <c r="HW9" s="25">
        <v>0</v>
      </c>
      <c r="HX9" s="25">
        <v>0</v>
      </c>
      <c r="HY9" s="25">
        <v>2</v>
      </c>
      <c r="HZ9" s="25">
        <v>2</v>
      </c>
      <c r="IA9" s="25">
        <v>0</v>
      </c>
      <c r="IB9" s="25">
        <v>39</v>
      </c>
      <c r="IC9" s="25">
        <v>33</v>
      </c>
      <c r="ID9" s="25">
        <v>0</v>
      </c>
      <c r="IE9" s="25">
        <v>122</v>
      </c>
      <c r="IF9" s="25">
        <v>77</v>
      </c>
      <c r="IG9" s="25">
        <v>9</v>
      </c>
      <c r="IH9" s="25">
        <v>58</v>
      </c>
      <c r="II9" s="25">
        <v>27</v>
      </c>
      <c r="IJ9" s="25">
        <v>5</v>
      </c>
      <c r="IK9" s="25">
        <v>27</v>
      </c>
      <c r="IL9" s="25">
        <v>17</v>
      </c>
      <c r="IM9" s="25">
        <v>1</v>
      </c>
      <c r="IN9" s="25">
        <v>13</v>
      </c>
      <c r="IO9" s="25">
        <v>10</v>
      </c>
      <c r="IP9" s="25">
        <v>0</v>
      </c>
      <c r="IQ9" s="25">
        <v>3</v>
      </c>
      <c r="IR9" s="25">
        <v>3</v>
      </c>
      <c r="IS9" s="25">
        <v>0</v>
      </c>
      <c r="IT9" s="25">
        <v>0</v>
      </c>
      <c r="IU9" s="25">
        <v>0</v>
      </c>
      <c r="IV9" s="25">
        <v>0</v>
      </c>
      <c r="IW9" s="25">
        <v>0</v>
      </c>
      <c r="IX9" s="25">
        <v>0</v>
      </c>
      <c r="IY9" s="25">
        <v>0</v>
      </c>
      <c r="IZ9" s="25">
        <v>2</v>
      </c>
      <c r="JA9" s="25">
        <v>2</v>
      </c>
      <c r="JB9" s="25">
        <v>0</v>
      </c>
      <c r="JC9" s="25">
        <v>2</v>
      </c>
      <c r="JD9" s="25">
        <v>2</v>
      </c>
      <c r="JE9" s="25">
        <v>0</v>
      </c>
      <c r="JF9" s="25">
        <f t="shared" si="5"/>
        <v>268</v>
      </c>
      <c r="JG9" s="25">
        <f t="shared" si="6"/>
        <v>171</v>
      </c>
      <c r="JH9" s="25">
        <v>3</v>
      </c>
      <c r="JI9" s="25">
        <v>3</v>
      </c>
      <c r="JJ9" s="25">
        <v>0</v>
      </c>
      <c r="JK9" s="25">
        <v>10</v>
      </c>
      <c r="JL9" s="25">
        <v>4</v>
      </c>
      <c r="JM9" s="25">
        <v>0</v>
      </c>
      <c r="JN9" s="25">
        <v>18</v>
      </c>
      <c r="JO9" s="25">
        <v>12</v>
      </c>
      <c r="JP9" s="25">
        <v>0</v>
      </c>
      <c r="JQ9" s="25">
        <v>4</v>
      </c>
      <c r="JR9" s="25">
        <v>4</v>
      </c>
      <c r="JS9" s="25">
        <v>0</v>
      </c>
      <c r="JT9" s="25">
        <v>3</v>
      </c>
      <c r="JU9" s="25">
        <v>0</v>
      </c>
      <c r="JV9" s="25">
        <v>0</v>
      </c>
      <c r="JW9" s="25">
        <v>7</v>
      </c>
      <c r="JX9" s="25">
        <v>7</v>
      </c>
      <c r="JY9" s="25">
        <v>0</v>
      </c>
      <c r="JZ9" s="25">
        <v>8</v>
      </c>
      <c r="KA9" s="25">
        <v>6</v>
      </c>
      <c r="KB9" s="25">
        <v>0</v>
      </c>
      <c r="KC9" s="26">
        <f t="shared" si="7"/>
        <v>53</v>
      </c>
      <c r="KD9" s="26">
        <f t="shared" si="8"/>
        <v>36</v>
      </c>
    </row>
    <row r="10" spans="1:290" x14ac:dyDescent="0.3">
      <c r="A10" s="33" t="s">
        <v>5</v>
      </c>
      <c r="B10" s="25">
        <v>30</v>
      </c>
      <c r="C10" s="25">
        <v>22</v>
      </c>
      <c r="D10" s="25">
        <v>0</v>
      </c>
      <c r="E10" s="25">
        <v>68</v>
      </c>
      <c r="F10" s="25">
        <v>44</v>
      </c>
      <c r="G10" s="25">
        <v>2</v>
      </c>
      <c r="H10" s="25">
        <v>90</v>
      </c>
      <c r="I10" s="25">
        <v>73</v>
      </c>
      <c r="J10" s="25">
        <v>0</v>
      </c>
      <c r="K10" s="25">
        <v>111</v>
      </c>
      <c r="L10" s="25">
        <v>93</v>
      </c>
      <c r="M10" s="25">
        <v>0</v>
      </c>
      <c r="N10" s="25">
        <v>70</v>
      </c>
      <c r="O10" s="25">
        <v>54</v>
      </c>
      <c r="P10" s="25">
        <v>0</v>
      </c>
      <c r="Q10" s="25">
        <v>33</v>
      </c>
      <c r="R10" s="25">
        <v>26</v>
      </c>
      <c r="S10" s="25">
        <v>0</v>
      </c>
      <c r="T10" s="25">
        <v>19</v>
      </c>
      <c r="U10" s="25">
        <v>14</v>
      </c>
      <c r="V10" s="25">
        <v>0</v>
      </c>
      <c r="W10" s="25">
        <v>5</v>
      </c>
      <c r="X10" s="25">
        <v>5</v>
      </c>
      <c r="Y10" s="25">
        <v>0</v>
      </c>
      <c r="Z10" s="25">
        <v>5</v>
      </c>
      <c r="AA10" s="25">
        <v>4</v>
      </c>
      <c r="AB10" s="25">
        <v>0</v>
      </c>
      <c r="AC10" s="25">
        <v>0</v>
      </c>
      <c r="AD10" s="25">
        <v>0</v>
      </c>
      <c r="AE10" s="25">
        <v>0</v>
      </c>
      <c r="AF10" s="25">
        <v>0</v>
      </c>
      <c r="AG10" s="25">
        <v>0</v>
      </c>
      <c r="AH10" s="25">
        <v>0</v>
      </c>
      <c r="AI10" s="25">
        <v>0</v>
      </c>
      <c r="AJ10" s="25">
        <v>0</v>
      </c>
      <c r="AK10" s="25">
        <v>0</v>
      </c>
      <c r="AL10" s="25">
        <f t="shared" si="9"/>
        <v>431</v>
      </c>
      <c r="AM10" s="25">
        <f t="shared" si="10"/>
        <v>335</v>
      </c>
      <c r="AN10" s="25">
        <v>5</v>
      </c>
      <c r="AO10" s="25">
        <v>5</v>
      </c>
      <c r="AP10" s="25">
        <v>0</v>
      </c>
      <c r="AQ10" s="25">
        <v>34</v>
      </c>
      <c r="AR10" s="25">
        <v>27</v>
      </c>
      <c r="AS10" s="25">
        <v>0</v>
      </c>
      <c r="AT10" s="25">
        <v>35</v>
      </c>
      <c r="AU10" s="25">
        <v>22</v>
      </c>
      <c r="AV10" s="25">
        <v>0</v>
      </c>
      <c r="AW10" s="25">
        <v>0</v>
      </c>
      <c r="AX10" s="25">
        <v>0</v>
      </c>
      <c r="AY10" s="25">
        <v>0</v>
      </c>
      <c r="AZ10" s="25">
        <v>0</v>
      </c>
      <c r="BA10" s="25">
        <v>0</v>
      </c>
      <c r="BB10" s="25">
        <v>0</v>
      </c>
      <c r="BC10" s="25">
        <v>0</v>
      </c>
      <c r="BD10" s="25">
        <v>0</v>
      </c>
      <c r="BE10" s="25">
        <v>0</v>
      </c>
      <c r="BF10" s="25">
        <v>0</v>
      </c>
      <c r="BG10" s="25">
        <v>0</v>
      </c>
      <c r="BH10" s="25">
        <v>0</v>
      </c>
      <c r="BI10" s="25">
        <v>0</v>
      </c>
      <c r="BJ10" s="25">
        <v>0</v>
      </c>
      <c r="BK10" s="25">
        <v>0</v>
      </c>
      <c r="BL10" s="25">
        <v>0</v>
      </c>
      <c r="BM10" s="25">
        <v>0</v>
      </c>
      <c r="BN10" s="25">
        <v>0</v>
      </c>
      <c r="BO10" s="25">
        <v>0</v>
      </c>
      <c r="BP10" s="25">
        <v>0</v>
      </c>
      <c r="BQ10" s="25">
        <v>0</v>
      </c>
      <c r="BR10" s="25">
        <v>2</v>
      </c>
      <c r="BS10" s="25">
        <v>1</v>
      </c>
      <c r="BT10" s="25">
        <v>0</v>
      </c>
      <c r="BU10" s="25">
        <v>0</v>
      </c>
      <c r="BV10" s="25">
        <v>0</v>
      </c>
      <c r="BW10" s="25">
        <v>0</v>
      </c>
      <c r="BX10" s="25">
        <f t="shared" si="11"/>
        <v>76</v>
      </c>
      <c r="BY10" s="25">
        <f t="shared" si="3"/>
        <v>55</v>
      </c>
      <c r="BZ10" s="25">
        <v>0</v>
      </c>
      <c r="CA10" s="25">
        <v>0</v>
      </c>
      <c r="CB10" s="25">
        <v>0</v>
      </c>
      <c r="CC10" s="25">
        <v>0</v>
      </c>
      <c r="CD10" s="25">
        <v>0</v>
      </c>
      <c r="CE10" s="25">
        <v>0</v>
      </c>
      <c r="CF10" s="25">
        <v>0</v>
      </c>
      <c r="CG10" s="25">
        <v>0</v>
      </c>
      <c r="CH10" s="25">
        <v>0</v>
      </c>
      <c r="CI10" s="25">
        <v>0</v>
      </c>
      <c r="CJ10" s="25">
        <v>0</v>
      </c>
      <c r="CK10" s="25">
        <v>0</v>
      </c>
      <c r="CL10" s="25">
        <v>0</v>
      </c>
      <c r="CM10" s="25">
        <v>0</v>
      </c>
      <c r="CN10" s="25">
        <v>0</v>
      </c>
      <c r="CO10" s="25">
        <v>0</v>
      </c>
      <c r="CP10" s="25">
        <v>0</v>
      </c>
      <c r="CQ10" s="25">
        <v>0</v>
      </c>
      <c r="CR10" s="25">
        <v>0</v>
      </c>
      <c r="CS10" s="25">
        <v>0</v>
      </c>
      <c r="CT10" s="25">
        <v>0</v>
      </c>
      <c r="CU10" s="25">
        <v>0</v>
      </c>
      <c r="CV10" s="25">
        <v>0</v>
      </c>
      <c r="CW10" s="25">
        <v>0</v>
      </c>
      <c r="CX10" s="25">
        <v>0</v>
      </c>
      <c r="CY10" s="25">
        <v>0</v>
      </c>
      <c r="CZ10" s="25">
        <v>0</v>
      </c>
      <c r="DA10" s="25">
        <v>0</v>
      </c>
      <c r="DB10" s="25">
        <v>0</v>
      </c>
      <c r="DC10" s="25">
        <v>0</v>
      </c>
      <c r="DD10" s="25">
        <v>0</v>
      </c>
      <c r="DE10" s="25">
        <v>0</v>
      </c>
      <c r="DF10" s="25">
        <v>0</v>
      </c>
      <c r="DG10" s="25">
        <v>0</v>
      </c>
      <c r="DH10" s="25">
        <v>0</v>
      </c>
      <c r="DI10" s="25">
        <v>0</v>
      </c>
      <c r="DJ10" s="25">
        <f t="shared" si="12"/>
        <v>0</v>
      </c>
      <c r="DK10" s="25">
        <f t="shared" si="13"/>
        <v>0</v>
      </c>
      <c r="DL10" s="25">
        <v>0</v>
      </c>
      <c r="DM10" s="25">
        <v>0</v>
      </c>
      <c r="DN10" s="25">
        <v>0</v>
      </c>
      <c r="DO10" s="25">
        <v>0</v>
      </c>
      <c r="DP10" s="25">
        <v>0</v>
      </c>
      <c r="DQ10" s="25">
        <v>0</v>
      </c>
      <c r="DR10" s="25">
        <v>0</v>
      </c>
      <c r="DS10" s="25">
        <v>0</v>
      </c>
      <c r="DT10" s="25">
        <v>0</v>
      </c>
      <c r="DU10" s="25">
        <v>0</v>
      </c>
      <c r="DV10" s="25">
        <v>0</v>
      </c>
      <c r="DW10" s="25">
        <v>0</v>
      </c>
      <c r="DX10" s="25">
        <v>0</v>
      </c>
      <c r="DY10" s="25">
        <v>0</v>
      </c>
      <c r="DZ10" s="25">
        <v>0</v>
      </c>
      <c r="EA10" s="25">
        <v>0</v>
      </c>
      <c r="EB10" s="25">
        <v>0</v>
      </c>
      <c r="EC10" s="25">
        <v>0</v>
      </c>
      <c r="ED10" s="25">
        <v>0</v>
      </c>
      <c r="EE10" s="25">
        <v>0</v>
      </c>
      <c r="EF10" s="25">
        <v>0</v>
      </c>
      <c r="EG10" s="25">
        <v>0</v>
      </c>
      <c r="EH10" s="25">
        <v>0</v>
      </c>
      <c r="EI10" s="25">
        <v>0</v>
      </c>
      <c r="EJ10" s="25">
        <v>0</v>
      </c>
      <c r="EK10" s="25">
        <v>0</v>
      </c>
      <c r="EL10" s="25">
        <v>0</v>
      </c>
      <c r="EM10" s="25">
        <v>0</v>
      </c>
      <c r="EN10" s="25">
        <v>0</v>
      </c>
      <c r="EO10" s="25">
        <v>0</v>
      </c>
      <c r="EP10" s="25">
        <v>0</v>
      </c>
      <c r="EQ10" s="25">
        <v>0</v>
      </c>
      <c r="ER10" s="25">
        <v>0</v>
      </c>
      <c r="ES10" s="25">
        <v>0</v>
      </c>
      <c r="ET10" s="25">
        <v>0</v>
      </c>
      <c r="EU10" s="25">
        <v>0</v>
      </c>
      <c r="EV10" s="25">
        <f t="shared" si="14"/>
        <v>0</v>
      </c>
      <c r="EW10" s="25">
        <f t="shared" si="15"/>
        <v>0</v>
      </c>
      <c r="EX10" s="25">
        <v>0</v>
      </c>
      <c r="EY10" s="25">
        <v>0</v>
      </c>
      <c r="EZ10" s="25">
        <v>0</v>
      </c>
      <c r="FA10" s="25">
        <v>0</v>
      </c>
      <c r="FB10" s="25">
        <v>0</v>
      </c>
      <c r="FC10" s="25">
        <v>0</v>
      </c>
      <c r="FD10" s="25">
        <v>0</v>
      </c>
      <c r="FE10" s="25">
        <v>0</v>
      </c>
      <c r="FF10" s="25">
        <v>0</v>
      </c>
      <c r="FG10" s="25">
        <v>0</v>
      </c>
      <c r="FH10" s="25">
        <v>0</v>
      </c>
      <c r="FI10" s="25">
        <v>0</v>
      </c>
      <c r="FJ10" s="25">
        <v>40</v>
      </c>
      <c r="FK10" s="25">
        <v>31</v>
      </c>
      <c r="FL10" s="25">
        <v>3</v>
      </c>
      <c r="FM10" s="25">
        <v>177</v>
      </c>
      <c r="FN10" s="25">
        <v>132</v>
      </c>
      <c r="FO10" s="25">
        <v>6</v>
      </c>
      <c r="FP10" s="25">
        <v>187</v>
      </c>
      <c r="FQ10" s="25">
        <v>152</v>
      </c>
      <c r="FR10" s="25">
        <v>6</v>
      </c>
      <c r="FS10" s="25">
        <v>137</v>
      </c>
      <c r="FT10" s="25">
        <v>114</v>
      </c>
      <c r="FU10" s="25">
        <v>0</v>
      </c>
      <c r="FV10" s="25">
        <v>314</v>
      </c>
      <c r="FW10" s="25">
        <v>264</v>
      </c>
      <c r="FX10" s="25">
        <v>3</v>
      </c>
      <c r="FY10" s="25">
        <v>548</v>
      </c>
      <c r="FZ10" s="25">
        <v>446</v>
      </c>
      <c r="GA10" s="25">
        <v>11</v>
      </c>
      <c r="GB10" s="25">
        <v>1164</v>
      </c>
      <c r="GC10" s="25">
        <v>973</v>
      </c>
      <c r="GD10" s="25">
        <v>26</v>
      </c>
      <c r="GE10" s="25">
        <v>1017</v>
      </c>
      <c r="GF10" s="25">
        <v>801</v>
      </c>
      <c r="GG10" s="25">
        <v>30</v>
      </c>
      <c r="GH10" s="25">
        <f t="shared" si="0"/>
        <v>3584</v>
      </c>
      <c r="GI10" s="25">
        <f t="shared" si="1"/>
        <v>2913</v>
      </c>
      <c r="GJ10" s="25">
        <v>1177</v>
      </c>
      <c r="GK10" s="25">
        <v>544</v>
      </c>
      <c r="GL10" s="25">
        <v>10</v>
      </c>
      <c r="GM10" s="25">
        <v>354</v>
      </c>
      <c r="GN10" s="25">
        <v>324</v>
      </c>
      <c r="GO10" s="25">
        <v>5</v>
      </c>
      <c r="GP10" s="25">
        <v>107</v>
      </c>
      <c r="GQ10" s="25">
        <v>100</v>
      </c>
      <c r="GR10" s="25">
        <v>0</v>
      </c>
      <c r="GS10" s="25">
        <v>14</v>
      </c>
      <c r="GT10" s="25">
        <v>13</v>
      </c>
      <c r="GU10" s="25">
        <v>0</v>
      </c>
      <c r="GV10" s="25">
        <v>34</v>
      </c>
      <c r="GW10" s="25">
        <v>34</v>
      </c>
      <c r="GX10" s="25">
        <v>0</v>
      </c>
      <c r="GY10" s="25">
        <v>11</v>
      </c>
      <c r="GZ10" s="25">
        <v>9</v>
      </c>
      <c r="HA10" s="25">
        <v>0</v>
      </c>
      <c r="HB10" s="25">
        <v>8</v>
      </c>
      <c r="HC10" s="25">
        <v>8</v>
      </c>
      <c r="HD10" s="25">
        <v>0</v>
      </c>
      <c r="HE10" s="25">
        <v>1</v>
      </c>
      <c r="HF10" s="25">
        <v>1</v>
      </c>
      <c r="HG10" s="25">
        <v>0</v>
      </c>
      <c r="HH10" s="25">
        <v>0</v>
      </c>
      <c r="HI10" s="25">
        <v>0</v>
      </c>
      <c r="HJ10" s="25">
        <v>0</v>
      </c>
      <c r="HK10" s="25">
        <v>0</v>
      </c>
      <c r="HL10" s="25">
        <v>0</v>
      </c>
      <c r="HM10" s="25">
        <v>0</v>
      </c>
      <c r="HN10" s="25">
        <v>0</v>
      </c>
      <c r="HO10" s="25">
        <v>0</v>
      </c>
      <c r="HP10" s="25">
        <v>0</v>
      </c>
      <c r="HQ10" s="25">
        <v>0</v>
      </c>
      <c r="HR10" s="25">
        <v>0</v>
      </c>
      <c r="HS10" s="25">
        <v>0</v>
      </c>
      <c r="HT10" s="25">
        <f t="shared" si="4"/>
        <v>1706</v>
      </c>
      <c r="HU10" s="25">
        <f t="shared" si="2"/>
        <v>1033</v>
      </c>
      <c r="HV10" s="25">
        <v>5</v>
      </c>
      <c r="HW10" s="25">
        <v>3</v>
      </c>
      <c r="HX10" s="25">
        <v>0</v>
      </c>
      <c r="HY10" s="25">
        <v>37</v>
      </c>
      <c r="HZ10" s="25">
        <v>31</v>
      </c>
      <c r="IA10" s="25">
        <v>3</v>
      </c>
      <c r="IB10" s="25">
        <v>120</v>
      </c>
      <c r="IC10" s="25">
        <v>107</v>
      </c>
      <c r="ID10" s="25">
        <v>0</v>
      </c>
      <c r="IE10" s="25">
        <v>157</v>
      </c>
      <c r="IF10" s="25">
        <v>140</v>
      </c>
      <c r="IG10" s="25">
        <v>5</v>
      </c>
      <c r="IH10" s="25">
        <v>65</v>
      </c>
      <c r="II10" s="25">
        <v>61</v>
      </c>
      <c r="IJ10" s="25">
        <v>1</v>
      </c>
      <c r="IK10" s="25">
        <v>67</v>
      </c>
      <c r="IL10" s="25">
        <v>58</v>
      </c>
      <c r="IM10" s="25">
        <v>0</v>
      </c>
      <c r="IN10" s="25">
        <v>31</v>
      </c>
      <c r="IO10" s="25">
        <v>28</v>
      </c>
      <c r="IP10" s="25">
        <v>0</v>
      </c>
      <c r="IQ10" s="25">
        <v>14</v>
      </c>
      <c r="IR10" s="25">
        <v>12</v>
      </c>
      <c r="IS10" s="25">
        <v>0</v>
      </c>
      <c r="IT10" s="25">
        <v>6</v>
      </c>
      <c r="IU10" s="25">
        <v>5</v>
      </c>
      <c r="IV10" s="25">
        <v>0</v>
      </c>
      <c r="IW10" s="25">
        <v>7</v>
      </c>
      <c r="IX10" s="25">
        <v>7</v>
      </c>
      <c r="IY10" s="25">
        <v>0</v>
      </c>
      <c r="IZ10" s="25">
        <v>64</v>
      </c>
      <c r="JA10" s="25">
        <v>59</v>
      </c>
      <c r="JB10" s="25">
        <v>0</v>
      </c>
      <c r="JC10" s="25">
        <v>354</v>
      </c>
      <c r="JD10" s="25">
        <v>311</v>
      </c>
      <c r="JE10" s="25">
        <v>0</v>
      </c>
      <c r="JF10" s="25">
        <f t="shared" si="5"/>
        <v>927</v>
      </c>
      <c r="JG10" s="25">
        <f t="shared" si="6"/>
        <v>763</v>
      </c>
      <c r="JH10" s="25">
        <v>339</v>
      </c>
      <c r="JI10" s="25">
        <v>279</v>
      </c>
      <c r="JJ10" s="25">
        <v>1</v>
      </c>
      <c r="JK10" s="25">
        <v>143</v>
      </c>
      <c r="JL10" s="25">
        <v>106</v>
      </c>
      <c r="JM10" s="25">
        <v>4</v>
      </c>
      <c r="JN10" s="25">
        <v>44</v>
      </c>
      <c r="JO10" s="25">
        <v>27</v>
      </c>
      <c r="JP10" s="25">
        <v>0</v>
      </c>
      <c r="JQ10" s="25">
        <v>22</v>
      </c>
      <c r="JR10" s="25">
        <v>18</v>
      </c>
      <c r="JS10" s="25">
        <v>0</v>
      </c>
      <c r="JT10" s="25">
        <v>7</v>
      </c>
      <c r="JU10" s="25">
        <v>7</v>
      </c>
      <c r="JV10" s="25">
        <v>0</v>
      </c>
      <c r="JW10" s="25">
        <v>7</v>
      </c>
      <c r="JX10" s="25">
        <v>6</v>
      </c>
      <c r="JY10" s="25">
        <v>0</v>
      </c>
      <c r="JZ10" s="25">
        <v>1</v>
      </c>
      <c r="KA10" s="25">
        <v>1</v>
      </c>
      <c r="KB10" s="25">
        <v>0</v>
      </c>
      <c r="KC10" s="26">
        <f t="shared" si="7"/>
        <v>563</v>
      </c>
      <c r="KD10" s="26">
        <f t="shared" si="8"/>
        <v>444</v>
      </c>
    </row>
    <row r="11" spans="1:290" x14ac:dyDescent="0.3">
      <c r="A11" s="33" t="s">
        <v>18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>
        <f t="shared" si="9"/>
        <v>0</v>
      </c>
      <c r="AM11" s="25">
        <f t="shared" si="10"/>
        <v>0</v>
      </c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25"/>
      <c r="BC11" s="25"/>
      <c r="BD11" s="25"/>
      <c r="BE11" s="25"/>
      <c r="BF11" s="25"/>
      <c r="BG11" s="25"/>
      <c r="BH11" s="25"/>
      <c r="BI11" s="25"/>
      <c r="BJ11" s="25"/>
      <c r="BK11" s="25"/>
      <c r="BL11" s="25"/>
      <c r="BM11" s="25"/>
      <c r="BN11" s="25"/>
      <c r="BO11" s="25"/>
      <c r="BP11" s="25"/>
      <c r="BQ11" s="25"/>
      <c r="BR11" s="25"/>
      <c r="BS11" s="25"/>
      <c r="BT11" s="25"/>
      <c r="BU11" s="25"/>
      <c r="BV11" s="25"/>
      <c r="BW11" s="25"/>
      <c r="BX11" s="25">
        <f t="shared" si="11"/>
        <v>0</v>
      </c>
      <c r="BY11" s="25">
        <f t="shared" si="3"/>
        <v>0</v>
      </c>
      <c r="BZ11" s="25"/>
      <c r="CA11" s="25"/>
      <c r="CB11" s="25"/>
      <c r="CC11" s="25"/>
      <c r="CD11" s="25"/>
      <c r="CE11" s="25"/>
      <c r="CF11" s="25"/>
      <c r="CG11" s="25"/>
      <c r="CH11" s="25"/>
      <c r="CI11" s="25"/>
      <c r="CJ11" s="25"/>
      <c r="CK11" s="25"/>
      <c r="CL11" s="25"/>
      <c r="CM11" s="25"/>
      <c r="CN11" s="25"/>
      <c r="CO11" s="25"/>
      <c r="CP11" s="25"/>
      <c r="CQ11" s="25"/>
      <c r="CR11" s="25"/>
      <c r="CS11" s="25"/>
      <c r="CT11" s="25"/>
      <c r="CU11" s="25"/>
      <c r="CV11" s="25"/>
      <c r="CW11" s="25"/>
      <c r="CX11" s="25"/>
      <c r="CY11" s="25"/>
      <c r="CZ11" s="25"/>
      <c r="DA11" s="25"/>
      <c r="DB11" s="25"/>
      <c r="DC11" s="25"/>
      <c r="DD11" s="25"/>
      <c r="DE11" s="25"/>
      <c r="DF11" s="25"/>
      <c r="DG11" s="25"/>
      <c r="DH11" s="25"/>
      <c r="DI11" s="25"/>
      <c r="DJ11" s="25">
        <f t="shared" si="12"/>
        <v>0</v>
      </c>
      <c r="DK11" s="25">
        <f t="shared" si="13"/>
        <v>0</v>
      </c>
      <c r="DL11" s="25"/>
      <c r="DM11" s="25"/>
      <c r="DN11" s="25"/>
      <c r="DO11" s="25"/>
      <c r="DP11" s="25"/>
      <c r="DQ11" s="25"/>
      <c r="DR11" s="25"/>
      <c r="DS11" s="25"/>
      <c r="DT11" s="25"/>
      <c r="DU11" s="25"/>
      <c r="DV11" s="25"/>
      <c r="DW11" s="25"/>
      <c r="DX11" s="25"/>
      <c r="DY11" s="25"/>
      <c r="DZ11" s="25"/>
      <c r="EA11" s="25"/>
      <c r="EB11" s="25"/>
      <c r="EC11" s="25"/>
      <c r="ED11" s="25"/>
      <c r="EE11" s="25"/>
      <c r="EF11" s="25"/>
      <c r="EG11" s="25"/>
      <c r="EH11" s="25"/>
      <c r="EI11" s="25"/>
      <c r="EJ11" s="25"/>
      <c r="EK11" s="25"/>
      <c r="EL11" s="25"/>
      <c r="EM11" s="25"/>
      <c r="EN11" s="25"/>
      <c r="EO11" s="25"/>
      <c r="EP11" s="25"/>
      <c r="EQ11" s="25"/>
      <c r="ER11" s="25"/>
      <c r="ES11" s="25"/>
      <c r="ET11" s="25"/>
      <c r="EU11" s="25"/>
      <c r="EV11" s="25">
        <f t="shared" si="14"/>
        <v>0</v>
      </c>
      <c r="EW11" s="25">
        <f t="shared" si="15"/>
        <v>0</v>
      </c>
      <c r="EX11" s="25">
        <v>0</v>
      </c>
      <c r="EY11" s="25">
        <v>0</v>
      </c>
      <c r="EZ11" s="25">
        <v>0</v>
      </c>
      <c r="FA11" s="25">
        <v>3</v>
      </c>
      <c r="FB11" s="25">
        <v>2</v>
      </c>
      <c r="FC11" s="25">
        <v>0</v>
      </c>
      <c r="FD11" s="25">
        <v>3</v>
      </c>
      <c r="FE11" s="25">
        <v>2</v>
      </c>
      <c r="FF11" s="25">
        <v>0</v>
      </c>
      <c r="FG11" s="25">
        <v>1</v>
      </c>
      <c r="FH11" s="25">
        <v>1</v>
      </c>
      <c r="FI11" s="25">
        <v>0</v>
      </c>
      <c r="FJ11" s="25">
        <v>2</v>
      </c>
      <c r="FK11" s="25">
        <v>2</v>
      </c>
      <c r="FL11" s="25">
        <v>0</v>
      </c>
      <c r="FM11" s="25">
        <v>29</v>
      </c>
      <c r="FN11" s="25">
        <v>19</v>
      </c>
      <c r="FO11" s="25">
        <v>0</v>
      </c>
      <c r="FP11" s="25">
        <v>29</v>
      </c>
      <c r="FQ11" s="25">
        <v>25</v>
      </c>
      <c r="FR11" s="25">
        <v>0</v>
      </c>
      <c r="FS11" s="25">
        <v>86</v>
      </c>
      <c r="FT11" s="25">
        <v>76</v>
      </c>
      <c r="FU11" s="25">
        <v>2</v>
      </c>
      <c r="FV11" s="25">
        <v>28</v>
      </c>
      <c r="FW11" s="25">
        <v>24</v>
      </c>
      <c r="FX11" s="25">
        <v>0</v>
      </c>
      <c r="FY11" s="25">
        <v>33</v>
      </c>
      <c r="FZ11" s="25">
        <v>26</v>
      </c>
      <c r="GA11" s="25">
        <v>1</v>
      </c>
      <c r="GB11" s="25">
        <v>144</v>
      </c>
      <c r="GC11" s="25">
        <v>89</v>
      </c>
      <c r="GD11" s="25">
        <v>7</v>
      </c>
      <c r="GE11" s="25">
        <v>218</v>
      </c>
      <c r="GF11" s="25">
        <v>157</v>
      </c>
      <c r="GG11" s="25">
        <v>15</v>
      </c>
      <c r="GH11" s="25">
        <f t="shared" si="0"/>
        <v>576</v>
      </c>
      <c r="GI11" s="25">
        <f t="shared" si="1"/>
        <v>423</v>
      </c>
      <c r="GJ11" s="25">
        <v>729</v>
      </c>
      <c r="GK11" s="25">
        <v>97</v>
      </c>
      <c r="GL11" s="25">
        <v>7</v>
      </c>
      <c r="GM11" s="25">
        <v>187</v>
      </c>
      <c r="GN11" s="25">
        <v>128</v>
      </c>
      <c r="GO11" s="25">
        <v>6</v>
      </c>
      <c r="GP11" s="25">
        <v>181</v>
      </c>
      <c r="GQ11" s="25">
        <v>122</v>
      </c>
      <c r="GR11" s="25">
        <v>10</v>
      </c>
      <c r="GS11" s="25">
        <v>136</v>
      </c>
      <c r="GT11" s="25">
        <v>106</v>
      </c>
      <c r="GU11" s="25">
        <v>3</v>
      </c>
      <c r="GV11" s="25">
        <v>50</v>
      </c>
      <c r="GW11" s="25">
        <v>32</v>
      </c>
      <c r="GX11" s="25">
        <v>1</v>
      </c>
      <c r="GY11" s="25">
        <v>17</v>
      </c>
      <c r="GZ11" s="25">
        <v>13</v>
      </c>
      <c r="HA11" s="25">
        <v>1</v>
      </c>
      <c r="HB11" s="25">
        <v>0</v>
      </c>
      <c r="HC11" s="25">
        <v>0</v>
      </c>
      <c r="HD11" s="25">
        <v>0</v>
      </c>
      <c r="HE11" s="25">
        <v>0</v>
      </c>
      <c r="HF11" s="25">
        <v>0</v>
      </c>
      <c r="HG11" s="25">
        <v>0</v>
      </c>
      <c r="HH11" s="25">
        <v>0</v>
      </c>
      <c r="HI11" s="25">
        <v>0</v>
      </c>
      <c r="HJ11" s="25">
        <v>0</v>
      </c>
      <c r="HK11" s="25">
        <v>0</v>
      </c>
      <c r="HL11" s="25">
        <v>0</v>
      </c>
      <c r="HM11" s="25">
        <v>0</v>
      </c>
      <c r="HN11" s="25">
        <v>0</v>
      </c>
      <c r="HO11" s="25">
        <v>0</v>
      </c>
      <c r="HP11" s="25">
        <v>0</v>
      </c>
      <c r="HQ11" s="25">
        <v>0</v>
      </c>
      <c r="HR11" s="25">
        <v>0</v>
      </c>
      <c r="HS11" s="25">
        <v>0</v>
      </c>
      <c r="HT11" s="25">
        <f t="shared" si="4"/>
        <v>1300</v>
      </c>
      <c r="HU11" s="25">
        <f t="shared" si="2"/>
        <v>498</v>
      </c>
      <c r="HV11" s="25">
        <v>0</v>
      </c>
      <c r="HW11" s="25">
        <v>0</v>
      </c>
      <c r="HX11" s="25">
        <v>0</v>
      </c>
      <c r="HY11" s="25">
        <v>0</v>
      </c>
      <c r="HZ11" s="25">
        <v>0</v>
      </c>
      <c r="IA11" s="25">
        <v>0</v>
      </c>
      <c r="IB11" s="25">
        <v>1</v>
      </c>
      <c r="IC11" s="25">
        <v>1</v>
      </c>
      <c r="ID11" s="25">
        <v>0</v>
      </c>
      <c r="IE11" s="25">
        <v>0</v>
      </c>
      <c r="IF11" s="25">
        <v>0</v>
      </c>
      <c r="IG11" s="25">
        <v>0</v>
      </c>
      <c r="IH11" s="25">
        <v>4</v>
      </c>
      <c r="II11" s="25">
        <v>4</v>
      </c>
      <c r="IJ11" s="25">
        <v>0</v>
      </c>
      <c r="IK11" s="25">
        <v>0</v>
      </c>
      <c r="IL11" s="25">
        <v>0</v>
      </c>
      <c r="IM11" s="25">
        <v>0</v>
      </c>
      <c r="IN11" s="25">
        <v>0</v>
      </c>
      <c r="IO11" s="25">
        <v>0</v>
      </c>
      <c r="IP11" s="25">
        <v>0</v>
      </c>
      <c r="IQ11" s="25">
        <v>0</v>
      </c>
      <c r="IR11" s="25">
        <v>0</v>
      </c>
      <c r="IS11" s="25">
        <v>0</v>
      </c>
      <c r="IT11" s="25">
        <v>0</v>
      </c>
      <c r="IU11" s="25">
        <v>0</v>
      </c>
      <c r="IV11" s="25">
        <v>0</v>
      </c>
      <c r="IW11" s="25">
        <v>0</v>
      </c>
      <c r="IX11" s="25">
        <v>0</v>
      </c>
      <c r="IY11" s="25">
        <v>0</v>
      </c>
      <c r="IZ11" s="25">
        <v>1</v>
      </c>
      <c r="JA11" s="25">
        <v>1</v>
      </c>
      <c r="JB11" s="25">
        <v>0</v>
      </c>
      <c r="JC11" s="25">
        <v>35</v>
      </c>
      <c r="JD11" s="25">
        <v>33</v>
      </c>
      <c r="JE11" s="25">
        <v>0</v>
      </c>
      <c r="JF11" s="25">
        <f t="shared" si="5"/>
        <v>41</v>
      </c>
      <c r="JG11" s="25">
        <f t="shared" si="6"/>
        <v>38</v>
      </c>
      <c r="JH11" s="25">
        <v>46</v>
      </c>
      <c r="JI11" s="25">
        <v>41</v>
      </c>
      <c r="JJ11" s="25">
        <v>0</v>
      </c>
      <c r="JK11" s="25">
        <v>16</v>
      </c>
      <c r="JL11" s="25">
        <v>12</v>
      </c>
      <c r="JM11" s="25">
        <v>0</v>
      </c>
      <c r="JN11" s="25">
        <v>28</v>
      </c>
      <c r="JO11" s="25">
        <v>23</v>
      </c>
      <c r="JP11" s="25">
        <v>3</v>
      </c>
      <c r="JQ11" s="25">
        <v>25</v>
      </c>
      <c r="JR11" s="25">
        <v>18</v>
      </c>
      <c r="JS11" s="25">
        <v>0</v>
      </c>
      <c r="JT11" s="25">
        <v>17</v>
      </c>
      <c r="JU11" s="25">
        <v>14</v>
      </c>
      <c r="JV11" s="25">
        <v>0</v>
      </c>
      <c r="JW11" s="25">
        <v>9</v>
      </c>
      <c r="JX11" s="25">
        <v>6</v>
      </c>
      <c r="JY11" s="25">
        <v>0</v>
      </c>
      <c r="JZ11" s="25">
        <v>4</v>
      </c>
      <c r="KA11" s="25">
        <v>3</v>
      </c>
      <c r="KB11" s="25">
        <v>0</v>
      </c>
      <c r="KC11" s="26">
        <f t="shared" si="7"/>
        <v>145</v>
      </c>
      <c r="KD11" s="26">
        <f t="shared" si="8"/>
        <v>117</v>
      </c>
    </row>
    <row r="12" spans="1:290" x14ac:dyDescent="0.3">
      <c r="A12" s="33" t="s">
        <v>6</v>
      </c>
      <c r="B12" s="25">
        <v>0</v>
      </c>
      <c r="C12" s="25">
        <v>0</v>
      </c>
      <c r="D12" s="25">
        <v>0</v>
      </c>
      <c r="E12" s="25">
        <v>3</v>
      </c>
      <c r="F12" s="25">
        <v>1</v>
      </c>
      <c r="G12" s="25">
        <v>0</v>
      </c>
      <c r="H12" s="25">
        <v>25</v>
      </c>
      <c r="I12" s="25">
        <v>9</v>
      </c>
      <c r="J12" s="25">
        <v>0</v>
      </c>
      <c r="K12" s="25">
        <v>46</v>
      </c>
      <c r="L12" s="25">
        <v>23</v>
      </c>
      <c r="M12" s="25">
        <v>0</v>
      </c>
      <c r="N12" s="25">
        <v>26</v>
      </c>
      <c r="O12" s="25">
        <v>10</v>
      </c>
      <c r="P12" s="25">
        <v>0</v>
      </c>
      <c r="Q12" s="25">
        <v>13</v>
      </c>
      <c r="R12" s="25">
        <v>7</v>
      </c>
      <c r="S12" s="25">
        <v>1</v>
      </c>
      <c r="T12" s="25">
        <v>6</v>
      </c>
      <c r="U12" s="25">
        <v>4</v>
      </c>
      <c r="V12" s="25">
        <v>0</v>
      </c>
      <c r="W12" s="25">
        <v>0</v>
      </c>
      <c r="X12" s="25">
        <v>0</v>
      </c>
      <c r="Y12" s="25">
        <v>0</v>
      </c>
      <c r="Z12" s="25">
        <v>0</v>
      </c>
      <c r="AA12" s="25">
        <v>0</v>
      </c>
      <c r="AB12" s="25">
        <v>0</v>
      </c>
      <c r="AC12" s="25">
        <v>1</v>
      </c>
      <c r="AD12" s="25">
        <v>0</v>
      </c>
      <c r="AE12" s="25">
        <v>0</v>
      </c>
      <c r="AF12" s="25">
        <v>0</v>
      </c>
      <c r="AG12" s="25">
        <v>0</v>
      </c>
      <c r="AH12" s="25">
        <v>0</v>
      </c>
      <c r="AI12" s="25">
        <v>2</v>
      </c>
      <c r="AJ12" s="25">
        <v>1</v>
      </c>
      <c r="AK12" s="25">
        <v>0</v>
      </c>
      <c r="AL12" s="25">
        <f t="shared" si="9"/>
        <v>122</v>
      </c>
      <c r="AM12" s="25">
        <f t="shared" si="10"/>
        <v>55</v>
      </c>
      <c r="AN12" s="25">
        <v>2</v>
      </c>
      <c r="AO12" s="25">
        <v>1</v>
      </c>
      <c r="AP12" s="25">
        <v>0</v>
      </c>
      <c r="AQ12" s="25">
        <v>4</v>
      </c>
      <c r="AR12" s="25">
        <v>2</v>
      </c>
      <c r="AS12" s="25">
        <v>0</v>
      </c>
      <c r="AT12" s="25">
        <v>13</v>
      </c>
      <c r="AU12" s="25">
        <v>3</v>
      </c>
      <c r="AV12" s="25">
        <v>0</v>
      </c>
      <c r="AW12" s="25">
        <v>2</v>
      </c>
      <c r="AX12" s="25">
        <v>1</v>
      </c>
      <c r="AY12" s="25">
        <v>0</v>
      </c>
      <c r="AZ12" s="25">
        <v>1</v>
      </c>
      <c r="BA12" s="25">
        <v>1</v>
      </c>
      <c r="BB12" s="25">
        <v>0</v>
      </c>
      <c r="BC12" s="25">
        <v>0</v>
      </c>
      <c r="BD12" s="25">
        <v>0</v>
      </c>
      <c r="BE12" s="25">
        <v>0</v>
      </c>
      <c r="BF12" s="25">
        <v>0</v>
      </c>
      <c r="BG12" s="25">
        <v>0</v>
      </c>
      <c r="BH12" s="25">
        <v>0</v>
      </c>
      <c r="BI12" s="25">
        <v>0</v>
      </c>
      <c r="BJ12" s="25">
        <v>0</v>
      </c>
      <c r="BK12" s="25">
        <v>0</v>
      </c>
      <c r="BL12" s="25">
        <v>0</v>
      </c>
      <c r="BM12" s="25">
        <v>0</v>
      </c>
      <c r="BN12" s="25">
        <v>0</v>
      </c>
      <c r="BO12" s="25">
        <v>0</v>
      </c>
      <c r="BP12" s="25">
        <v>0</v>
      </c>
      <c r="BQ12" s="25">
        <v>0</v>
      </c>
      <c r="BR12" s="25">
        <v>0</v>
      </c>
      <c r="BS12" s="25">
        <v>0</v>
      </c>
      <c r="BT12" s="25">
        <v>0</v>
      </c>
      <c r="BU12" s="25">
        <v>0</v>
      </c>
      <c r="BV12" s="25">
        <v>0</v>
      </c>
      <c r="BW12" s="25">
        <v>0</v>
      </c>
      <c r="BX12" s="25">
        <f t="shared" si="11"/>
        <v>22</v>
      </c>
      <c r="BY12" s="25">
        <f t="shared" si="3"/>
        <v>8</v>
      </c>
      <c r="BZ12" s="25">
        <v>0</v>
      </c>
      <c r="CA12" s="25">
        <v>0</v>
      </c>
      <c r="CB12" s="25">
        <v>0</v>
      </c>
      <c r="CC12" s="25">
        <v>0</v>
      </c>
      <c r="CD12" s="25">
        <v>0</v>
      </c>
      <c r="CE12" s="25">
        <v>0</v>
      </c>
      <c r="CF12" s="25">
        <v>0</v>
      </c>
      <c r="CG12" s="25">
        <v>0</v>
      </c>
      <c r="CH12" s="25">
        <v>0</v>
      </c>
      <c r="CI12" s="25">
        <v>0</v>
      </c>
      <c r="CJ12" s="25">
        <v>0</v>
      </c>
      <c r="CK12" s="25">
        <v>0</v>
      </c>
      <c r="CL12" s="25">
        <v>0</v>
      </c>
      <c r="CM12" s="25">
        <v>0</v>
      </c>
      <c r="CN12" s="25">
        <v>0</v>
      </c>
      <c r="CO12" s="25">
        <v>0</v>
      </c>
      <c r="CP12" s="25">
        <v>0</v>
      </c>
      <c r="CQ12" s="25">
        <v>0</v>
      </c>
      <c r="CR12" s="25">
        <v>0</v>
      </c>
      <c r="CS12" s="25">
        <v>0</v>
      </c>
      <c r="CT12" s="25">
        <v>0</v>
      </c>
      <c r="CU12" s="25">
        <v>0</v>
      </c>
      <c r="CV12" s="25">
        <v>0</v>
      </c>
      <c r="CW12" s="25">
        <v>0</v>
      </c>
      <c r="CX12" s="25">
        <v>0</v>
      </c>
      <c r="CY12" s="25">
        <v>0</v>
      </c>
      <c r="CZ12" s="25">
        <v>0</v>
      </c>
      <c r="DA12" s="25">
        <v>0</v>
      </c>
      <c r="DB12" s="25">
        <v>0</v>
      </c>
      <c r="DC12" s="25">
        <v>0</v>
      </c>
      <c r="DD12" s="25">
        <v>0</v>
      </c>
      <c r="DE12" s="25">
        <v>0</v>
      </c>
      <c r="DF12" s="25">
        <v>0</v>
      </c>
      <c r="DG12" s="25">
        <v>0</v>
      </c>
      <c r="DH12" s="25">
        <v>0</v>
      </c>
      <c r="DI12" s="25">
        <v>0</v>
      </c>
      <c r="DJ12" s="25">
        <f t="shared" si="12"/>
        <v>0</v>
      </c>
      <c r="DK12" s="25">
        <f t="shared" si="13"/>
        <v>0</v>
      </c>
      <c r="DL12" s="25">
        <v>0</v>
      </c>
      <c r="DM12" s="25">
        <v>0</v>
      </c>
      <c r="DN12" s="25">
        <v>0</v>
      </c>
      <c r="DO12" s="25">
        <v>0</v>
      </c>
      <c r="DP12" s="25">
        <v>0</v>
      </c>
      <c r="DQ12" s="25">
        <v>0</v>
      </c>
      <c r="DR12" s="25">
        <v>0</v>
      </c>
      <c r="DS12" s="25">
        <v>0</v>
      </c>
      <c r="DT12" s="25">
        <v>0</v>
      </c>
      <c r="DU12" s="25">
        <v>0</v>
      </c>
      <c r="DV12" s="25">
        <v>0</v>
      </c>
      <c r="DW12" s="25">
        <v>0</v>
      </c>
      <c r="DX12" s="25">
        <v>0</v>
      </c>
      <c r="DY12" s="25">
        <v>0</v>
      </c>
      <c r="DZ12" s="25">
        <v>0</v>
      </c>
      <c r="EA12" s="25">
        <v>0</v>
      </c>
      <c r="EB12" s="25">
        <v>0</v>
      </c>
      <c r="EC12" s="25">
        <v>0</v>
      </c>
      <c r="ED12" s="25">
        <v>0</v>
      </c>
      <c r="EE12" s="25">
        <v>0</v>
      </c>
      <c r="EF12" s="25">
        <v>0</v>
      </c>
      <c r="EG12" s="25">
        <v>2</v>
      </c>
      <c r="EH12" s="25">
        <v>2</v>
      </c>
      <c r="EI12" s="25">
        <v>0</v>
      </c>
      <c r="EJ12" s="25">
        <v>1</v>
      </c>
      <c r="EK12" s="25">
        <v>1</v>
      </c>
      <c r="EL12" s="25">
        <v>0</v>
      </c>
      <c r="EM12" s="25">
        <v>0</v>
      </c>
      <c r="EN12" s="25">
        <v>0</v>
      </c>
      <c r="EO12" s="25">
        <v>0</v>
      </c>
      <c r="EP12" s="25">
        <v>0</v>
      </c>
      <c r="EQ12" s="25">
        <v>0</v>
      </c>
      <c r="ER12" s="25">
        <v>0</v>
      </c>
      <c r="ES12" s="25">
        <v>0</v>
      </c>
      <c r="ET12" s="25">
        <v>0</v>
      </c>
      <c r="EU12" s="25">
        <v>0</v>
      </c>
      <c r="EV12" s="25">
        <f t="shared" si="14"/>
        <v>3</v>
      </c>
      <c r="EW12" s="25">
        <f t="shared" si="15"/>
        <v>3</v>
      </c>
      <c r="EX12" s="25">
        <v>0</v>
      </c>
      <c r="EY12" s="25">
        <v>0</v>
      </c>
      <c r="EZ12" s="25">
        <v>0</v>
      </c>
      <c r="FA12" s="25">
        <v>0</v>
      </c>
      <c r="FB12" s="25">
        <v>0</v>
      </c>
      <c r="FC12" s="25">
        <v>0</v>
      </c>
      <c r="FD12" s="25">
        <v>0</v>
      </c>
      <c r="FE12" s="25">
        <v>0</v>
      </c>
      <c r="FF12" s="25">
        <v>0</v>
      </c>
      <c r="FG12" s="25">
        <v>1</v>
      </c>
      <c r="FH12" s="25">
        <v>0</v>
      </c>
      <c r="FI12" s="25">
        <v>0</v>
      </c>
      <c r="FJ12" s="25">
        <v>7</v>
      </c>
      <c r="FK12" s="25">
        <v>5</v>
      </c>
      <c r="FL12" s="25">
        <v>0</v>
      </c>
      <c r="FM12" s="25">
        <v>8</v>
      </c>
      <c r="FN12" s="25">
        <v>4</v>
      </c>
      <c r="FO12" s="25">
        <v>0</v>
      </c>
      <c r="FP12" s="25">
        <v>7</v>
      </c>
      <c r="FQ12" s="25">
        <v>3</v>
      </c>
      <c r="FR12" s="25">
        <v>0</v>
      </c>
      <c r="FS12" s="25">
        <v>12</v>
      </c>
      <c r="FT12" s="25">
        <v>6</v>
      </c>
      <c r="FU12" s="25">
        <v>0</v>
      </c>
      <c r="FV12" s="25">
        <v>18</v>
      </c>
      <c r="FW12" s="25">
        <v>13</v>
      </c>
      <c r="FX12" s="25">
        <v>0</v>
      </c>
      <c r="FY12" s="25">
        <v>57</v>
      </c>
      <c r="FZ12" s="25">
        <v>32</v>
      </c>
      <c r="GA12" s="25">
        <v>2</v>
      </c>
      <c r="GB12" s="25">
        <v>186</v>
      </c>
      <c r="GC12" s="25">
        <v>133</v>
      </c>
      <c r="GD12" s="25">
        <v>22</v>
      </c>
      <c r="GE12" s="25">
        <v>181</v>
      </c>
      <c r="GF12" s="25">
        <v>89</v>
      </c>
      <c r="GG12" s="25">
        <v>22</v>
      </c>
      <c r="GH12" s="25">
        <f t="shared" si="0"/>
        <v>477</v>
      </c>
      <c r="GI12" s="25">
        <f t="shared" si="1"/>
        <v>285</v>
      </c>
      <c r="GJ12" s="25">
        <v>1296</v>
      </c>
      <c r="GK12" s="25">
        <v>135</v>
      </c>
      <c r="GL12" s="25">
        <v>7</v>
      </c>
      <c r="GM12" s="25">
        <v>221</v>
      </c>
      <c r="GN12" s="25">
        <v>117</v>
      </c>
      <c r="GO12" s="25">
        <v>9</v>
      </c>
      <c r="GP12" s="25">
        <v>270</v>
      </c>
      <c r="GQ12" s="25">
        <v>159</v>
      </c>
      <c r="GR12" s="25">
        <v>12</v>
      </c>
      <c r="GS12" s="25">
        <v>183</v>
      </c>
      <c r="GT12" s="25">
        <v>114</v>
      </c>
      <c r="GU12" s="25">
        <v>3</v>
      </c>
      <c r="GV12" s="25">
        <v>143</v>
      </c>
      <c r="GW12" s="25">
        <v>81</v>
      </c>
      <c r="GX12" s="25">
        <v>6</v>
      </c>
      <c r="GY12" s="25">
        <v>145</v>
      </c>
      <c r="GZ12" s="25">
        <v>81</v>
      </c>
      <c r="HA12" s="25">
        <v>5</v>
      </c>
      <c r="HB12" s="25">
        <v>74</v>
      </c>
      <c r="HC12" s="25">
        <v>49</v>
      </c>
      <c r="HD12" s="25">
        <v>1</v>
      </c>
      <c r="HE12" s="25">
        <v>6</v>
      </c>
      <c r="HF12" s="25">
        <v>4</v>
      </c>
      <c r="HG12" s="25">
        <v>0</v>
      </c>
      <c r="HH12" s="25">
        <v>16</v>
      </c>
      <c r="HI12" s="25">
        <v>8</v>
      </c>
      <c r="HJ12" s="25">
        <v>2</v>
      </c>
      <c r="HK12" s="25">
        <v>24</v>
      </c>
      <c r="HL12" s="25">
        <v>20</v>
      </c>
      <c r="HM12" s="25">
        <v>2</v>
      </c>
      <c r="HN12" s="25">
        <v>22</v>
      </c>
      <c r="HO12" s="25">
        <v>17</v>
      </c>
      <c r="HP12" s="25">
        <v>0</v>
      </c>
      <c r="HQ12" s="25">
        <v>21</v>
      </c>
      <c r="HR12" s="25">
        <v>10</v>
      </c>
      <c r="HS12" s="25">
        <v>1</v>
      </c>
      <c r="HT12" s="25">
        <f t="shared" si="4"/>
        <v>2421</v>
      </c>
      <c r="HU12" s="25">
        <f t="shared" si="2"/>
        <v>795</v>
      </c>
      <c r="HV12" s="25">
        <v>2</v>
      </c>
      <c r="HW12" s="25">
        <v>0</v>
      </c>
      <c r="HX12" s="25">
        <v>1</v>
      </c>
      <c r="HY12" s="25">
        <v>0</v>
      </c>
      <c r="HZ12" s="25">
        <v>0</v>
      </c>
      <c r="IA12" s="25">
        <v>0</v>
      </c>
      <c r="IB12" s="25">
        <v>0</v>
      </c>
      <c r="IC12" s="25">
        <v>0</v>
      </c>
      <c r="ID12" s="25">
        <v>0</v>
      </c>
      <c r="IE12" s="25">
        <v>0</v>
      </c>
      <c r="IF12" s="25">
        <v>0</v>
      </c>
      <c r="IG12" s="25">
        <v>0</v>
      </c>
      <c r="IH12" s="25">
        <v>11</v>
      </c>
      <c r="II12" s="25">
        <v>8</v>
      </c>
      <c r="IJ12" s="25">
        <v>0</v>
      </c>
      <c r="IK12" s="25">
        <v>5</v>
      </c>
      <c r="IL12" s="25">
        <v>3</v>
      </c>
      <c r="IM12" s="25">
        <v>0</v>
      </c>
      <c r="IN12" s="25">
        <v>0</v>
      </c>
      <c r="IO12" s="25">
        <v>0</v>
      </c>
      <c r="IP12" s="25">
        <v>0</v>
      </c>
      <c r="IQ12" s="25">
        <v>0</v>
      </c>
      <c r="IR12" s="25">
        <v>0</v>
      </c>
      <c r="IS12" s="25">
        <v>0</v>
      </c>
      <c r="IT12" s="25">
        <v>0</v>
      </c>
      <c r="IU12" s="25">
        <v>0</v>
      </c>
      <c r="IV12" s="25">
        <v>0</v>
      </c>
      <c r="IW12" s="25">
        <v>0</v>
      </c>
      <c r="IX12" s="25">
        <v>0</v>
      </c>
      <c r="IY12" s="25">
        <v>0</v>
      </c>
      <c r="IZ12" s="25">
        <v>0</v>
      </c>
      <c r="JA12" s="25">
        <v>0</v>
      </c>
      <c r="JB12" s="25">
        <v>0</v>
      </c>
      <c r="JC12" s="25">
        <v>3</v>
      </c>
      <c r="JD12" s="25">
        <v>3</v>
      </c>
      <c r="JE12" s="25">
        <v>0</v>
      </c>
      <c r="JF12" s="25">
        <f t="shared" si="5"/>
        <v>21</v>
      </c>
      <c r="JG12" s="25">
        <f t="shared" si="6"/>
        <v>14</v>
      </c>
      <c r="JH12" s="25">
        <v>25</v>
      </c>
      <c r="JI12" s="25">
        <v>22</v>
      </c>
      <c r="JJ12" s="25">
        <v>2</v>
      </c>
      <c r="JK12" s="25">
        <v>83</v>
      </c>
      <c r="JL12" s="25">
        <v>76</v>
      </c>
      <c r="JM12" s="25">
        <v>1</v>
      </c>
      <c r="JN12" s="25">
        <v>89</v>
      </c>
      <c r="JO12" s="25">
        <v>69</v>
      </c>
      <c r="JP12" s="25">
        <v>2</v>
      </c>
      <c r="JQ12" s="25">
        <v>52</v>
      </c>
      <c r="JR12" s="25">
        <v>39</v>
      </c>
      <c r="JS12" s="25">
        <v>3</v>
      </c>
      <c r="JT12" s="25">
        <v>16</v>
      </c>
      <c r="JU12" s="25">
        <v>14</v>
      </c>
      <c r="JV12" s="25">
        <v>2</v>
      </c>
      <c r="JW12" s="25">
        <v>27</v>
      </c>
      <c r="JX12" s="25">
        <v>21</v>
      </c>
      <c r="JY12" s="25">
        <v>0</v>
      </c>
      <c r="JZ12" s="25">
        <v>6</v>
      </c>
      <c r="KA12" s="25">
        <v>6</v>
      </c>
      <c r="KB12" s="25">
        <v>0</v>
      </c>
      <c r="KC12" s="26">
        <f t="shared" si="7"/>
        <v>298</v>
      </c>
      <c r="KD12" s="26">
        <f t="shared" si="8"/>
        <v>247</v>
      </c>
    </row>
    <row r="13" spans="1:290" x14ac:dyDescent="0.3">
      <c r="A13" s="33" t="s">
        <v>7</v>
      </c>
      <c r="B13" s="25">
        <v>13</v>
      </c>
      <c r="C13" s="25">
        <v>11</v>
      </c>
      <c r="D13" s="25">
        <v>0</v>
      </c>
      <c r="E13" s="25">
        <v>32</v>
      </c>
      <c r="F13" s="25">
        <v>29</v>
      </c>
      <c r="G13" s="25">
        <v>0</v>
      </c>
      <c r="H13" s="25">
        <v>25</v>
      </c>
      <c r="I13" s="25">
        <v>16</v>
      </c>
      <c r="J13" s="25">
        <v>0</v>
      </c>
      <c r="K13" s="25">
        <v>17</v>
      </c>
      <c r="L13" s="25">
        <v>9</v>
      </c>
      <c r="M13" s="25">
        <v>0</v>
      </c>
      <c r="N13" s="25">
        <v>83</v>
      </c>
      <c r="O13" s="25">
        <v>59</v>
      </c>
      <c r="P13" s="25">
        <v>1</v>
      </c>
      <c r="Q13" s="25">
        <v>34</v>
      </c>
      <c r="R13" s="25">
        <v>25</v>
      </c>
      <c r="S13" s="25">
        <v>2</v>
      </c>
      <c r="T13" s="25">
        <v>45</v>
      </c>
      <c r="U13" s="25">
        <v>32</v>
      </c>
      <c r="V13" s="25">
        <v>0</v>
      </c>
      <c r="W13" s="25">
        <v>32</v>
      </c>
      <c r="X13" s="25">
        <v>21</v>
      </c>
      <c r="Y13" s="25">
        <v>1</v>
      </c>
      <c r="Z13" s="25">
        <v>23</v>
      </c>
      <c r="AA13" s="25">
        <v>19</v>
      </c>
      <c r="AB13" s="25">
        <v>1</v>
      </c>
      <c r="AC13" s="25">
        <v>10</v>
      </c>
      <c r="AD13" s="25">
        <v>8</v>
      </c>
      <c r="AE13" s="25">
        <v>0</v>
      </c>
      <c r="AF13" s="25">
        <v>11</v>
      </c>
      <c r="AG13" s="25">
        <v>8</v>
      </c>
      <c r="AH13" s="25">
        <v>0</v>
      </c>
      <c r="AI13" s="25">
        <v>29</v>
      </c>
      <c r="AJ13" s="25">
        <v>17</v>
      </c>
      <c r="AK13" s="25">
        <v>0</v>
      </c>
      <c r="AL13" s="25">
        <f t="shared" si="9"/>
        <v>354</v>
      </c>
      <c r="AM13" s="25">
        <f t="shared" si="10"/>
        <v>254</v>
      </c>
      <c r="AN13" s="25">
        <v>50</v>
      </c>
      <c r="AO13" s="25">
        <v>36</v>
      </c>
      <c r="AP13" s="25">
        <v>1</v>
      </c>
      <c r="AQ13" s="25">
        <v>52</v>
      </c>
      <c r="AR13" s="25">
        <v>34</v>
      </c>
      <c r="AS13" s="25">
        <v>1</v>
      </c>
      <c r="AT13" s="25">
        <v>48</v>
      </c>
      <c r="AU13" s="25">
        <v>35</v>
      </c>
      <c r="AV13" s="25">
        <v>2</v>
      </c>
      <c r="AW13" s="25">
        <v>24</v>
      </c>
      <c r="AX13" s="25">
        <v>20</v>
      </c>
      <c r="AY13" s="25">
        <v>1</v>
      </c>
      <c r="AZ13" s="25">
        <v>1</v>
      </c>
      <c r="BA13" s="25">
        <v>1</v>
      </c>
      <c r="BB13" s="25">
        <v>0</v>
      </c>
      <c r="BC13" s="25">
        <v>0</v>
      </c>
      <c r="BD13" s="25">
        <v>0</v>
      </c>
      <c r="BE13" s="25">
        <v>0</v>
      </c>
      <c r="BF13" s="25">
        <v>0</v>
      </c>
      <c r="BG13" s="25">
        <v>0</v>
      </c>
      <c r="BH13" s="25">
        <v>0</v>
      </c>
      <c r="BI13" s="25">
        <v>0</v>
      </c>
      <c r="BJ13" s="25">
        <v>0</v>
      </c>
      <c r="BK13" s="25">
        <v>0</v>
      </c>
      <c r="BL13" s="25">
        <v>0</v>
      </c>
      <c r="BM13" s="25">
        <v>0</v>
      </c>
      <c r="BN13" s="25">
        <v>0</v>
      </c>
      <c r="BO13" s="25">
        <v>0</v>
      </c>
      <c r="BP13" s="25">
        <v>0</v>
      </c>
      <c r="BQ13" s="25">
        <v>0</v>
      </c>
      <c r="BR13" s="25">
        <v>0</v>
      </c>
      <c r="BS13" s="25">
        <v>0</v>
      </c>
      <c r="BT13" s="25">
        <v>0</v>
      </c>
      <c r="BU13" s="25">
        <v>0</v>
      </c>
      <c r="BV13" s="25">
        <v>0</v>
      </c>
      <c r="BW13" s="25">
        <v>0</v>
      </c>
      <c r="BX13" s="25">
        <f t="shared" si="11"/>
        <v>175</v>
      </c>
      <c r="BY13" s="25">
        <f t="shared" si="3"/>
        <v>126</v>
      </c>
      <c r="BZ13" s="25">
        <v>0</v>
      </c>
      <c r="CA13" s="25">
        <v>0</v>
      </c>
      <c r="CB13" s="25">
        <v>0</v>
      </c>
      <c r="CC13" s="25">
        <v>0</v>
      </c>
      <c r="CD13" s="25">
        <v>0</v>
      </c>
      <c r="CE13" s="25">
        <v>0</v>
      </c>
      <c r="CF13" s="25">
        <v>0</v>
      </c>
      <c r="CG13" s="25">
        <v>0</v>
      </c>
      <c r="CH13" s="25">
        <v>0</v>
      </c>
      <c r="CI13" s="25">
        <v>0</v>
      </c>
      <c r="CJ13" s="25">
        <v>0</v>
      </c>
      <c r="CK13" s="25">
        <v>0</v>
      </c>
      <c r="CL13" s="25">
        <v>0</v>
      </c>
      <c r="CM13" s="25">
        <v>0</v>
      </c>
      <c r="CN13" s="25">
        <v>0</v>
      </c>
      <c r="CO13" s="25">
        <v>0</v>
      </c>
      <c r="CP13" s="25">
        <v>0</v>
      </c>
      <c r="CQ13" s="25">
        <v>0</v>
      </c>
      <c r="CR13" s="25">
        <v>0</v>
      </c>
      <c r="CS13" s="25">
        <v>0</v>
      </c>
      <c r="CT13" s="25">
        <v>0</v>
      </c>
      <c r="CU13" s="25">
        <v>0</v>
      </c>
      <c r="CV13" s="25">
        <v>0</v>
      </c>
      <c r="CW13" s="25">
        <v>0</v>
      </c>
      <c r="CX13" s="25">
        <v>0</v>
      </c>
      <c r="CY13" s="25">
        <v>0</v>
      </c>
      <c r="CZ13" s="25">
        <v>0</v>
      </c>
      <c r="DA13" s="25">
        <v>0</v>
      </c>
      <c r="DB13" s="25">
        <v>0</v>
      </c>
      <c r="DC13" s="25">
        <v>0</v>
      </c>
      <c r="DD13" s="25">
        <v>0</v>
      </c>
      <c r="DE13" s="25">
        <v>0</v>
      </c>
      <c r="DF13" s="25">
        <v>0</v>
      </c>
      <c r="DG13" s="25">
        <v>0</v>
      </c>
      <c r="DH13" s="25">
        <v>0</v>
      </c>
      <c r="DI13" s="25">
        <v>0</v>
      </c>
      <c r="DJ13" s="25">
        <f t="shared" si="12"/>
        <v>0</v>
      </c>
      <c r="DK13" s="25">
        <f t="shared" si="13"/>
        <v>0</v>
      </c>
      <c r="DL13" s="25">
        <v>0</v>
      </c>
      <c r="DM13" s="25">
        <v>0</v>
      </c>
      <c r="DN13" s="25">
        <v>0</v>
      </c>
      <c r="DO13" s="25">
        <v>0</v>
      </c>
      <c r="DP13" s="25">
        <v>0</v>
      </c>
      <c r="DQ13" s="25">
        <v>0</v>
      </c>
      <c r="DR13" s="25">
        <v>0</v>
      </c>
      <c r="DS13" s="25">
        <v>0</v>
      </c>
      <c r="DT13" s="25">
        <v>0</v>
      </c>
      <c r="DU13" s="25">
        <v>0</v>
      </c>
      <c r="DV13" s="25">
        <v>0</v>
      </c>
      <c r="DW13" s="25">
        <v>0</v>
      </c>
      <c r="DX13" s="25">
        <v>0</v>
      </c>
      <c r="DY13" s="25">
        <v>0</v>
      </c>
      <c r="DZ13" s="25">
        <v>0</v>
      </c>
      <c r="EA13" s="25">
        <v>0</v>
      </c>
      <c r="EB13" s="25">
        <v>0</v>
      </c>
      <c r="EC13" s="25">
        <v>0</v>
      </c>
      <c r="ED13" s="25">
        <v>0</v>
      </c>
      <c r="EE13" s="25">
        <v>0</v>
      </c>
      <c r="EF13" s="25">
        <v>0</v>
      </c>
      <c r="EG13" s="25">
        <v>0</v>
      </c>
      <c r="EH13" s="25">
        <v>0</v>
      </c>
      <c r="EI13" s="25">
        <v>0</v>
      </c>
      <c r="EJ13" s="25">
        <v>0</v>
      </c>
      <c r="EK13" s="25">
        <v>0</v>
      </c>
      <c r="EL13" s="25">
        <v>0</v>
      </c>
      <c r="EM13" s="25">
        <v>0</v>
      </c>
      <c r="EN13" s="25">
        <v>0</v>
      </c>
      <c r="EO13" s="25">
        <v>0</v>
      </c>
      <c r="EP13" s="25">
        <v>0</v>
      </c>
      <c r="EQ13" s="25">
        <v>0</v>
      </c>
      <c r="ER13" s="25">
        <v>0</v>
      </c>
      <c r="ES13" s="25">
        <v>0</v>
      </c>
      <c r="ET13" s="25">
        <v>0</v>
      </c>
      <c r="EU13" s="25">
        <v>0</v>
      </c>
      <c r="EV13" s="25">
        <f t="shared" si="14"/>
        <v>0</v>
      </c>
      <c r="EW13" s="25">
        <f t="shared" si="15"/>
        <v>0</v>
      </c>
      <c r="EX13" s="25">
        <v>0</v>
      </c>
      <c r="EY13" s="25">
        <v>0</v>
      </c>
      <c r="EZ13" s="25">
        <v>0</v>
      </c>
      <c r="FA13" s="25">
        <v>3</v>
      </c>
      <c r="FB13" s="25">
        <v>3</v>
      </c>
      <c r="FC13" s="25">
        <v>0</v>
      </c>
      <c r="FD13" s="25">
        <v>0</v>
      </c>
      <c r="FE13" s="25">
        <v>0</v>
      </c>
      <c r="FF13" s="25">
        <v>0</v>
      </c>
      <c r="FG13" s="25">
        <v>0</v>
      </c>
      <c r="FH13" s="25">
        <v>0</v>
      </c>
      <c r="FI13" s="25">
        <v>0</v>
      </c>
      <c r="FJ13" s="25">
        <v>2</v>
      </c>
      <c r="FK13" s="25">
        <v>2</v>
      </c>
      <c r="FL13" s="25">
        <v>0</v>
      </c>
      <c r="FM13" s="25">
        <v>9</v>
      </c>
      <c r="FN13" s="25">
        <v>9</v>
      </c>
      <c r="FO13" s="25">
        <v>0</v>
      </c>
      <c r="FP13" s="25">
        <v>32</v>
      </c>
      <c r="FQ13" s="25">
        <v>24</v>
      </c>
      <c r="FR13" s="25">
        <v>0</v>
      </c>
      <c r="FS13" s="25">
        <v>49</v>
      </c>
      <c r="FT13" s="25">
        <v>41</v>
      </c>
      <c r="FU13" s="25">
        <v>1</v>
      </c>
      <c r="FV13" s="25">
        <v>54</v>
      </c>
      <c r="FW13" s="25">
        <v>42</v>
      </c>
      <c r="FX13" s="25">
        <v>0</v>
      </c>
      <c r="FY13" s="25">
        <v>82</v>
      </c>
      <c r="FZ13" s="25">
        <v>64</v>
      </c>
      <c r="GA13" s="25">
        <v>5</v>
      </c>
      <c r="GB13" s="25">
        <v>258</v>
      </c>
      <c r="GC13" s="25">
        <v>160</v>
      </c>
      <c r="GD13" s="25">
        <v>16</v>
      </c>
      <c r="GE13" s="25">
        <v>316</v>
      </c>
      <c r="GF13" s="25">
        <v>216</v>
      </c>
      <c r="GG13" s="25">
        <v>13</v>
      </c>
      <c r="GH13" s="25">
        <f t="shared" si="0"/>
        <v>805</v>
      </c>
      <c r="GI13" s="25">
        <f t="shared" si="1"/>
        <v>561</v>
      </c>
      <c r="GJ13" s="25">
        <v>2226</v>
      </c>
      <c r="GK13" s="25">
        <v>184</v>
      </c>
      <c r="GL13" s="25">
        <v>13</v>
      </c>
      <c r="GM13" s="25">
        <v>594</v>
      </c>
      <c r="GN13" s="25">
        <v>379</v>
      </c>
      <c r="GO13" s="25">
        <v>53</v>
      </c>
      <c r="GP13" s="25">
        <v>412</v>
      </c>
      <c r="GQ13" s="25">
        <v>283</v>
      </c>
      <c r="GR13" s="25">
        <v>44</v>
      </c>
      <c r="GS13" s="25">
        <v>464</v>
      </c>
      <c r="GT13" s="25">
        <v>302</v>
      </c>
      <c r="GU13" s="25">
        <v>45</v>
      </c>
      <c r="GV13" s="25">
        <v>243</v>
      </c>
      <c r="GW13" s="25">
        <v>157</v>
      </c>
      <c r="GX13" s="25">
        <v>41</v>
      </c>
      <c r="GY13" s="25">
        <v>141</v>
      </c>
      <c r="GZ13" s="25">
        <v>112</v>
      </c>
      <c r="HA13" s="25">
        <v>9</v>
      </c>
      <c r="HB13" s="25">
        <v>83</v>
      </c>
      <c r="HC13" s="25">
        <v>61</v>
      </c>
      <c r="HD13" s="25">
        <v>8</v>
      </c>
      <c r="HE13" s="25">
        <v>24</v>
      </c>
      <c r="HF13" s="25">
        <v>20</v>
      </c>
      <c r="HG13" s="25">
        <v>1</v>
      </c>
      <c r="HH13" s="25">
        <v>2</v>
      </c>
      <c r="HI13" s="25">
        <v>2</v>
      </c>
      <c r="HJ13" s="25">
        <v>0</v>
      </c>
      <c r="HK13" s="25">
        <v>0</v>
      </c>
      <c r="HL13" s="25">
        <v>0</v>
      </c>
      <c r="HM13" s="25">
        <v>0</v>
      </c>
      <c r="HN13" s="25">
        <v>0</v>
      </c>
      <c r="HO13" s="25">
        <v>0</v>
      </c>
      <c r="HP13" s="25">
        <v>0</v>
      </c>
      <c r="HQ13" s="25">
        <v>0</v>
      </c>
      <c r="HR13" s="25">
        <v>0</v>
      </c>
      <c r="HS13" s="25">
        <v>0</v>
      </c>
      <c r="HT13" s="25">
        <f t="shared" si="4"/>
        <v>4189</v>
      </c>
      <c r="HU13" s="25">
        <f t="shared" si="2"/>
        <v>1500</v>
      </c>
      <c r="HV13" s="25">
        <v>0</v>
      </c>
      <c r="HW13" s="25">
        <v>0</v>
      </c>
      <c r="HX13" s="25">
        <v>0</v>
      </c>
      <c r="HY13" s="25">
        <v>0</v>
      </c>
      <c r="HZ13" s="25">
        <v>0</v>
      </c>
      <c r="IA13" s="25">
        <v>0</v>
      </c>
      <c r="IB13" s="25">
        <v>0</v>
      </c>
      <c r="IC13" s="25">
        <v>0</v>
      </c>
      <c r="ID13" s="25">
        <v>0</v>
      </c>
      <c r="IE13" s="25">
        <v>5</v>
      </c>
      <c r="IF13" s="25">
        <v>4</v>
      </c>
      <c r="IG13" s="25">
        <v>0</v>
      </c>
      <c r="IH13" s="25">
        <v>4</v>
      </c>
      <c r="II13" s="25">
        <v>3</v>
      </c>
      <c r="IJ13" s="25">
        <v>0</v>
      </c>
      <c r="IK13" s="25">
        <v>6</v>
      </c>
      <c r="IL13" s="25">
        <v>5</v>
      </c>
      <c r="IM13" s="25">
        <v>0</v>
      </c>
      <c r="IN13" s="25">
        <v>1</v>
      </c>
      <c r="IO13" s="25">
        <v>1</v>
      </c>
      <c r="IP13" s="25">
        <v>0</v>
      </c>
      <c r="IQ13" s="25">
        <v>1</v>
      </c>
      <c r="IR13" s="25">
        <v>0</v>
      </c>
      <c r="IS13" s="25">
        <v>0</v>
      </c>
      <c r="IT13" s="25">
        <v>0</v>
      </c>
      <c r="IU13" s="25">
        <v>0</v>
      </c>
      <c r="IV13" s="25">
        <v>0</v>
      </c>
      <c r="IW13" s="25">
        <v>0</v>
      </c>
      <c r="IX13" s="25">
        <v>0</v>
      </c>
      <c r="IY13" s="25">
        <v>0</v>
      </c>
      <c r="IZ13" s="25">
        <v>17</v>
      </c>
      <c r="JA13" s="25">
        <v>16</v>
      </c>
      <c r="JB13" s="25">
        <v>0</v>
      </c>
      <c r="JC13" s="25">
        <v>74</v>
      </c>
      <c r="JD13" s="25">
        <v>63</v>
      </c>
      <c r="JE13" s="25">
        <v>4</v>
      </c>
      <c r="JF13" s="25">
        <f t="shared" si="5"/>
        <v>108</v>
      </c>
      <c r="JG13" s="25">
        <f t="shared" si="6"/>
        <v>76</v>
      </c>
      <c r="JH13" s="25">
        <v>87</v>
      </c>
      <c r="JI13" s="25">
        <v>76</v>
      </c>
      <c r="JJ13" s="25">
        <v>3</v>
      </c>
      <c r="JK13" s="25">
        <v>146</v>
      </c>
      <c r="JL13" s="25">
        <v>126</v>
      </c>
      <c r="JM13" s="25">
        <v>4</v>
      </c>
      <c r="JN13" s="25">
        <v>85</v>
      </c>
      <c r="JO13" s="25">
        <v>72</v>
      </c>
      <c r="JP13" s="25">
        <v>2</v>
      </c>
      <c r="JQ13" s="25">
        <v>78</v>
      </c>
      <c r="JR13" s="25">
        <v>67</v>
      </c>
      <c r="JS13" s="25">
        <v>0</v>
      </c>
      <c r="JT13" s="25">
        <v>32</v>
      </c>
      <c r="JU13" s="25">
        <v>28</v>
      </c>
      <c r="JV13" s="25">
        <v>0</v>
      </c>
      <c r="JW13" s="25">
        <v>62</v>
      </c>
      <c r="JX13" s="25">
        <v>57</v>
      </c>
      <c r="JY13" s="25">
        <v>1</v>
      </c>
      <c r="JZ13" s="25">
        <v>0</v>
      </c>
      <c r="KA13" s="25">
        <v>0</v>
      </c>
      <c r="KB13" s="25">
        <v>0</v>
      </c>
      <c r="KC13" s="26">
        <f t="shared" si="7"/>
        <v>490</v>
      </c>
      <c r="KD13" s="26">
        <f t="shared" si="8"/>
        <v>426</v>
      </c>
    </row>
    <row r="14" spans="1:290" x14ac:dyDescent="0.3">
      <c r="A14" s="33" t="s">
        <v>8</v>
      </c>
      <c r="B14" s="25">
        <v>23</v>
      </c>
      <c r="C14" s="25">
        <v>16</v>
      </c>
      <c r="D14" s="25">
        <v>0</v>
      </c>
      <c r="E14" s="25">
        <v>23</v>
      </c>
      <c r="F14" s="25">
        <v>13</v>
      </c>
      <c r="G14" s="25">
        <v>1</v>
      </c>
      <c r="H14" s="25">
        <v>75</v>
      </c>
      <c r="I14" s="25">
        <v>49</v>
      </c>
      <c r="J14" s="25">
        <v>0</v>
      </c>
      <c r="K14" s="25">
        <v>55</v>
      </c>
      <c r="L14" s="25">
        <v>23</v>
      </c>
      <c r="M14" s="25">
        <v>0</v>
      </c>
      <c r="N14" s="25">
        <v>15</v>
      </c>
      <c r="O14" s="25">
        <v>8</v>
      </c>
      <c r="P14" s="25">
        <v>0</v>
      </c>
      <c r="Q14" s="25">
        <v>0</v>
      </c>
      <c r="R14" s="25">
        <v>0</v>
      </c>
      <c r="S14" s="25">
        <v>0</v>
      </c>
      <c r="T14" s="25">
        <v>1</v>
      </c>
      <c r="U14" s="25">
        <v>1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0</v>
      </c>
      <c r="AB14" s="25">
        <v>0</v>
      </c>
      <c r="AC14" s="25">
        <v>1</v>
      </c>
      <c r="AD14" s="25">
        <v>1</v>
      </c>
      <c r="AE14" s="25">
        <v>0</v>
      </c>
      <c r="AF14" s="25">
        <v>0</v>
      </c>
      <c r="AG14" s="25">
        <v>0</v>
      </c>
      <c r="AH14" s="25">
        <v>0</v>
      </c>
      <c r="AI14" s="25">
        <v>0</v>
      </c>
      <c r="AJ14" s="25">
        <v>0</v>
      </c>
      <c r="AK14" s="25">
        <v>0</v>
      </c>
      <c r="AL14" s="25">
        <f t="shared" si="9"/>
        <v>193</v>
      </c>
      <c r="AM14" s="25">
        <f t="shared" si="10"/>
        <v>111</v>
      </c>
      <c r="AN14" s="25">
        <v>0</v>
      </c>
      <c r="AO14" s="25">
        <v>0</v>
      </c>
      <c r="AP14" s="25">
        <v>0</v>
      </c>
      <c r="AQ14" s="25">
        <v>34</v>
      </c>
      <c r="AR14" s="25">
        <v>4</v>
      </c>
      <c r="AS14" s="25">
        <v>12</v>
      </c>
      <c r="AT14" s="25">
        <v>15</v>
      </c>
      <c r="AU14" s="25">
        <v>9</v>
      </c>
      <c r="AV14" s="25">
        <v>4</v>
      </c>
      <c r="AW14" s="25">
        <v>2</v>
      </c>
      <c r="AX14" s="25">
        <v>2</v>
      </c>
      <c r="AY14" s="25">
        <v>0</v>
      </c>
      <c r="AZ14" s="25">
        <v>0</v>
      </c>
      <c r="BA14" s="25">
        <v>0</v>
      </c>
      <c r="BB14" s="25">
        <v>0</v>
      </c>
      <c r="BC14" s="25">
        <v>0</v>
      </c>
      <c r="BD14" s="25">
        <v>0</v>
      </c>
      <c r="BE14" s="25">
        <v>0</v>
      </c>
      <c r="BF14" s="25">
        <v>0</v>
      </c>
      <c r="BG14" s="25">
        <v>0</v>
      </c>
      <c r="BH14" s="25">
        <v>0</v>
      </c>
      <c r="BI14" s="25">
        <v>3</v>
      </c>
      <c r="BJ14" s="25">
        <v>3</v>
      </c>
      <c r="BK14" s="25">
        <v>0</v>
      </c>
      <c r="BL14" s="25">
        <v>0</v>
      </c>
      <c r="BM14" s="25">
        <v>0</v>
      </c>
      <c r="BN14" s="25">
        <v>0</v>
      </c>
      <c r="BO14" s="25">
        <v>0</v>
      </c>
      <c r="BP14" s="25">
        <v>0</v>
      </c>
      <c r="BQ14" s="25">
        <v>0</v>
      </c>
      <c r="BR14" s="25">
        <v>0</v>
      </c>
      <c r="BS14" s="25">
        <v>0</v>
      </c>
      <c r="BT14" s="25">
        <v>0</v>
      </c>
      <c r="BU14" s="25">
        <v>0</v>
      </c>
      <c r="BV14" s="25">
        <v>0</v>
      </c>
      <c r="BW14" s="25">
        <v>0</v>
      </c>
      <c r="BX14" s="25">
        <f t="shared" si="11"/>
        <v>54</v>
      </c>
      <c r="BY14" s="25">
        <f t="shared" si="3"/>
        <v>18</v>
      </c>
      <c r="BZ14" s="25">
        <v>0</v>
      </c>
      <c r="CA14" s="25">
        <v>0</v>
      </c>
      <c r="CB14" s="25">
        <v>0</v>
      </c>
      <c r="CC14" s="25">
        <v>0</v>
      </c>
      <c r="CD14" s="25">
        <v>0</v>
      </c>
      <c r="CE14" s="25">
        <v>0</v>
      </c>
      <c r="CF14" s="25">
        <v>0</v>
      </c>
      <c r="CG14" s="25">
        <v>0</v>
      </c>
      <c r="CH14" s="25">
        <v>0</v>
      </c>
      <c r="CI14" s="25">
        <v>0</v>
      </c>
      <c r="CJ14" s="25">
        <v>0</v>
      </c>
      <c r="CK14" s="25">
        <v>0</v>
      </c>
      <c r="CL14" s="25">
        <v>0</v>
      </c>
      <c r="CM14" s="25">
        <v>0</v>
      </c>
      <c r="CN14" s="25">
        <v>0</v>
      </c>
      <c r="CO14" s="25">
        <v>0</v>
      </c>
      <c r="CP14" s="25">
        <v>0</v>
      </c>
      <c r="CQ14" s="25">
        <v>0</v>
      </c>
      <c r="CR14" s="25">
        <v>0</v>
      </c>
      <c r="CS14" s="25">
        <v>0</v>
      </c>
      <c r="CT14" s="25">
        <v>0</v>
      </c>
      <c r="CU14" s="25">
        <v>0</v>
      </c>
      <c r="CV14" s="25">
        <v>0</v>
      </c>
      <c r="CW14" s="25">
        <v>0</v>
      </c>
      <c r="CX14" s="25">
        <v>0</v>
      </c>
      <c r="CY14" s="25">
        <v>0</v>
      </c>
      <c r="CZ14" s="25">
        <v>0</v>
      </c>
      <c r="DA14" s="25">
        <v>0</v>
      </c>
      <c r="DB14" s="25">
        <v>0</v>
      </c>
      <c r="DC14" s="25">
        <v>0</v>
      </c>
      <c r="DD14" s="25">
        <v>0</v>
      </c>
      <c r="DE14" s="25">
        <v>0</v>
      </c>
      <c r="DF14" s="25">
        <v>0</v>
      </c>
      <c r="DG14" s="25">
        <v>0</v>
      </c>
      <c r="DH14" s="25">
        <v>0</v>
      </c>
      <c r="DI14" s="25">
        <v>0</v>
      </c>
      <c r="DJ14" s="25">
        <f t="shared" si="12"/>
        <v>0</v>
      </c>
      <c r="DK14" s="25">
        <f t="shared" si="13"/>
        <v>0</v>
      </c>
      <c r="DL14" s="25">
        <v>0</v>
      </c>
      <c r="DM14" s="25">
        <v>0</v>
      </c>
      <c r="DN14" s="25">
        <v>0</v>
      </c>
      <c r="DO14" s="25">
        <v>0</v>
      </c>
      <c r="DP14" s="25">
        <v>0</v>
      </c>
      <c r="DQ14" s="25">
        <v>0</v>
      </c>
      <c r="DR14" s="25">
        <v>0</v>
      </c>
      <c r="DS14" s="25">
        <v>0</v>
      </c>
      <c r="DT14" s="25">
        <v>0</v>
      </c>
      <c r="DU14" s="25">
        <v>0</v>
      </c>
      <c r="DV14" s="25">
        <v>0</v>
      </c>
      <c r="DW14" s="25">
        <v>0</v>
      </c>
      <c r="DX14" s="25">
        <v>0</v>
      </c>
      <c r="DY14" s="25">
        <v>0</v>
      </c>
      <c r="DZ14" s="25">
        <v>0</v>
      </c>
      <c r="EA14" s="25">
        <v>0</v>
      </c>
      <c r="EB14" s="25">
        <v>0</v>
      </c>
      <c r="EC14" s="25">
        <v>0</v>
      </c>
      <c r="ED14" s="25">
        <v>0</v>
      </c>
      <c r="EE14" s="25">
        <v>0</v>
      </c>
      <c r="EF14" s="25">
        <v>0</v>
      </c>
      <c r="EG14" s="25">
        <v>0</v>
      </c>
      <c r="EH14" s="25">
        <v>0</v>
      </c>
      <c r="EI14" s="25">
        <v>0</v>
      </c>
      <c r="EJ14" s="25">
        <v>0</v>
      </c>
      <c r="EK14" s="25">
        <v>0</v>
      </c>
      <c r="EL14" s="25">
        <v>0</v>
      </c>
      <c r="EM14" s="25">
        <v>0</v>
      </c>
      <c r="EN14" s="25">
        <v>0</v>
      </c>
      <c r="EO14" s="25">
        <v>0</v>
      </c>
      <c r="EP14" s="25">
        <v>0</v>
      </c>
      <c r="EQ14" s="25">
        <v>0</v>
      </c>
      <c r="ER14" s="25">
        <v>0</v>
      </c>
      <c r="ES14" s="25">
        <v>0</v>
      </c>
      <c r="ET14" s="25">
        <v>0</v>
      </c>
      <c r="EU14" s="25">
        <v>0</v>
      </c>
      <c r="EV14" s="25">
        <f t="shared" si="14"/>
        <v>0</v>
      </c>
      <c r="EW14" s="25">
        <f t="shared" si="15"/>
        <v>0</v>
      </c>
      <c r="EX14" s="25">
        <v>0</v>
      </c>
      <c r="EY14" s="25">
        <v>0</v>
      </c>
      <c r="EZ14" s="25">
        <v>0</v>
      </c>
      <c r="FA14" s="25">
        <v>0</v>
      </c>
      <c r="FB14" s="25">
        <v>0</v>
      </c>
      <c r="FC14" s="25">
        <v>0</v>
      </c>
      <c r="FD14" s="25">
        <v>0</v>
      </c>
      <c r="FE14" s="25">
        <v>0</v>
      </c>
      <c r="FF14" s="25">
        <v>0</v>
      </c>
      <c r="FG14" s="25">
        <v>2</v>
      </c>
      <c r="FH14" s="25">
        <v>2</v>
      </c>
      <c r="FI14" s="25">
        <v>0</v>
      </c>
      <c r="FJ14" s="25">
        <v>2</v>
      </c>
      <c r="FK14" s="25">
        <v>0</v>
      </c>
      <c r="FL14" s="25">
        <v>0</v>
      </c>
      <c r="FM14" s="25">
        <v>48</v>
      </c>
      <c r="FN14" s="25">
        <v>31</v>
      </c>
      <c r="FO14" s="25">
        <v>1</v>
      </c>
      <c r="FP14" s="25">
        <v>7</v>
      </c>
      <c r="FQ14" s="25">
        <v>5</v>
      </c>
      <c r="FR14" s="25">
        <v>1</v>
      </c>
      <c r="FS14" s="25">
        <v>2</v>
      </c>
      <c r="FT14" s="25">
        <v>1</v>
      </c>
      <c r="FU14" s="25">
        <v>0</v>
      </c>
      <c r="FV14" s="25">
        <v>23</v>
      </c>
      <c r="FW14" s="25">
        <v>18</v>
      </c>
      <c r="FX14" s="25">
        <v>0</v>
      </c>
      <c r="FY14" s="25">
        <v>9</v>
      </c>
      <c r="FZ14" s="25">
        <v>8</v>
      </c>
      <c r="GA14" s="25">
        <v>0</v>
      </c>
      <c r="GB14" s="25">
        <v>32</v>
      </c>
      <c r="GC14" s="25">
        <v>21</v>
      </c>
      <c r="GD14" s="25">
        <v>0</v>
      </c>
      <c r="GE14" s="25">
        <v>94</v>
      </c>
      <c r="GF14" s="25">
        <v>38</v>
      </c>
      <c r="GG14" s="25">
        <v>3</v>
      </c>
      <c r="GH14" s="25">
        <f t="shared" si="0"/>
        <v>219</v>
      </c>
      <c r="GI14" s="25">
        <f t="shared" si="1"/>
        <v>124</v>
      </c>
      <c r="GJ14" s="25">
        <v>686</v>
      </c>
      <c r="GK14" s="25">
        <v>75</v>
      </c>
      <c r="GL14" s="25">
        <v>13</v>
      </c>
      <c r="GM14" s="25">
        <v>161</v>
      </c>
      <c r="GN14" s="25">
        <v>81</v>
      </c>
      <c r="GO14" s="25">
        <v>25</v>
      </c>
      <c r="GP14" s="25">
        <v>111</v>
      </c>
      <c r="GQ14" s="25">
        <v>83</v>
      </c>
      <c r="GR14" s="25">
        <v>8</v>
      </c>
      <c r="GS14" s="25">
        <v>124</v>
      </c>
      <c r="GT14" s="25">
        <v>55</v>
      </c>
      <c r="GU14" s="25">
        <v>14</v>
      </c>
      <c r="GV14" s="25">
        <v>55</v>
      </c>
      <c r="GW14" s="25">
        <v>36</v>
      </c>
      <c r="GX14" s="25">
        <v>0</v>
      </c>
      <c r="GY14" s="25">
        <v>73</v>
      </c>
      <c r="GZ14" s="25">
        <v>48</v>
      </c>
      <c r="HA14" s="25">
        <v>5</v>
      </c>
      <c r="HB14" s="25">
        <v>11</v>
      </c>
      <c r="HC14" s="25">
        <v>9</v>
      </c>
      <c r="HD14" s="25">
        <v>0</v>
      </c>
      <c r="HE14" s="25">
        <v>2</v>
      </c>
      <c r="HF14" s="25">
        <v>2</v>
      </c>
      <c r="HG14" s="25">
        <v>0</v>
      </c>
      <c r="HH14" s="25">
        <v>1</v>
      </c>
      <c r="HI14" s="25">
        <v>1</v>
      </c>
      <c r="HJ14" s="25">
        <v>0</v>
      </c>
      <c r="HK14" s="25">
        <v>0</v>
      </c>
      <c r="HL14" s="25">
        <v>0</v>
      </c>
      <c r="HM14" s="25">
        <v>0</v>
      </c>
      <c r="HN14" s="25">
        <v>0</v>
      </c>
      <c r="HO14" s="25">
        <v>0</v>
      </c>
      <c r="HP14" s="25">
        <v>0</v>
      </c>
      <c r="HQ14" s="25">
        <v>0</v>
      </c>
      <c r="HR14" s="25">
        <v>0</v>
      </c>
      <c r="HS14" s="25">
        <v>0</v>
      </c>
      <c r="HT14" s="25">
        <f t="shared" si="4"/>
        <v>1224</v>
      </c>
      <c r="HU14" s="25">
        <f t="shared" si="2"/>
        <v>390</v>
      </c>
      <c r="HV14" s="25">
        <v>1</v>
      </c>
      <c r="HW14" s="25">
        <v>1</v>
      </c>
      <c r="HX14" s="25">
        <v>0</v>
      </c>
      <c r="HY14" s="25">
        <v>9</v>
      </c>
      <c r="HZ14" s="25">
        <v>6</v>
      </c>
      <c r="IA14" s="25">
        <v>0</v>
      </c>
      <c r="IB14" s="25">
        <v>9</v>
      </c>
      <c r="IC14" s="25">
        <v>7</v>
      </c>
      <c r="ID14" s="25">
        <v>1</v>
      </c>
      <c r="IE14" s="25">
        <v>3</v>
      </c>
      <c r="IF14" s="25">
        <v>1</v>
      </c>
      <c r="IG14" s="25">
        <v>0</v>
      </c>
      <c r="IH14" s="25">
        <v>0</v>
      </c>
      <c r="II14" s="25">
        <v>0</v>
      </c>
      <c r="IJ14" s="25">
        <v>0</v>
      </c>
      <c r="IK14" s="25">
        <v>1</v>
      </c>
      <c r="IL14" s="25">
        <v>1</v>
      </c>
      <c r="IM14" s="25">
        <v>0</v>
      </c>
      <c r="IN14" s="25">
        <v>1</v>
      </c>
      <c r="IO14" s="25">
        <v>0</v>
      </c>
      <c r="IP14" s="25">
        <v>0</v>
      </c>
      <c r="IQ14" s="25">
        <v>3</v>
      </c>
      <c r="IR14" s="25">
        <v>1</v>
      </c>
      <c r="IS14" s="25">
        <v>0</v>
      </c>
      <c r="IT14" s="25">
        <v>0</v>
      </c>
      <c r="IU14" s="25">
        <v>0</v>
      </c>
      <c r="IV14" s="25">
        <v>0</v>
      </c>
      <c r="IW14" s="25">
        <v>0</v>
      </c>
      <c r="IX14" s="25">
        <v>0</v>
      </c>
      <c r="IY14" s="25">
        <v>0</v>
      </c>
      <c r="IZ14" s="25">
        <v>5</v>
      </c>
      <c r="JA14" s="25">
        <v>4</v>
      </c>
      <c r="JB14" s="25">
        <v>0</v>
      </c>
      <c r="JC14" s="25">
        <v>20</v>
      </c>
      <c r="JD14" s="25">
        <v>17</v>
      </c>
      <c r="JE14" s="25">
        <v>0</v>
      </c>
      <c r="JF14" s="25">
        <f t="shared" si="5"/>
        <v>52</v>
      </c>
      <c r="JG14" s="25">
        <f t="shared" si="6"/>
        <v>34</v>
      </c>
      <c r="JH14" s="25">
        <v>58</v>
      </c>
      <c r="JI14" s="25">
        <v>42</v>
      </c>
      <c r="JJ14" s="25">
        <v>1</v>
      </c>
      <c r="JK14" s="25">
        <v>137</v>
      </c>
      <c r="JL14" s="25">
        <v>114</v>
      </c>
      <c r="JM14" s="25">
        <v>3</v>
      </c>
      <c r="JN14" s="25">
        <v>86</v>
      </c>
      <c r="JO14" s="25">
        <v>65</v>
      </c>
      <c r="JP14" s="25">
        <v>4</v>
      </c>
      <c r="JQ14" s="25">
        <v>6</v>
      </c>
      <c r="JR14" s="25">
        <v>6</v>
      </c>
      <c r="JS14" s="25">
        <v>0</v>
      </c>
      <c r="JT14" s="25">
        <v>5</v>
      </c>
      <c r="JU14" s="25">
        <v>3</v>
      </c>
      <c r="JV14" s="25">
        <v>0</v>
      </c>
      <c r="JW14" s="25">
        <v>2</v>
      </c>
      <c r="JX14" s="25">
        <v>2</v>
      </c>
      <c r="JY14" s="25">
        <v>0</v>
      </c>
      <c r="JZ14" s="25">
        <v>0</v>
      </c>
      <c r="KA14" s="25">
        <v>0</v>
      </c>
      <c r="KB14" s="25">
        <v>0</v>
      </c>
      <c r="KC14" s="26">
        <f t="shared" si="7"/>
        <v>294</v>
      </c>
      <c r="KD14" s="26">
        <f t="shared" si="8"/>
        <v>232</v>
      </c>
    </row>
    <row r="15" spans="1:290" x14ac:dyDescent="0.3">
      <c r="A15" s="33" t="s">
        <v>9</v>
      </c>
      <c r="B15" s="25">
        <v>3</v>
      </c>
      <c r="C15" s="25">
        <v>2</v>
      </c>
      <c r="D15" s="25">
        <v>0</v>
      </c>
      <c r="E15" s="25">
        <v>94</v>
      </c>
      <c r="F15" s="25">
        <v>80</v>
      </c>
      <c r="G15" s="25">
        <v>3</v>
      </c>
      <c r="H15" s="25">
        <v>81</v>
      </c>
      <c r="I15" s="25">
        <v>67</v>
      </c>
      <c r="J15" s="25">
        <v>2</v>
      </c>
      <c r="K15" s="25">
        <v>83</v>
      </c>
      <c r="L15" s="25">
        <v>54</v>
      </c>
      <c r="M15" s="25">
        <v>1</v>
      </c>
      <c r="N15" s="25">
        <v>88</v>
      </c>
      <c r="O15" s="25">
        <v>61</v>
      </c>
      <c r="P15" s="25">
        <v>4</v>
      </c>
      <c r="Q15" s="25">
        <v>67</v>
      </c>
      <c r="R15" s="25">
        <v>40</v>
      </c>
      <c r="S15" s="25">
        <v>0</v>
      </c>
      <c r="T15" s="25">
        <v>0</v>
      </c>
      <c r="U15" s="25">
        <v>0</v>
      </c>
      <c r="V15" s="25">
        <v>0</v>
      </c>
      <c r="W15" s="25">
        <v>7</v>
      </c>
      <c r="X15" s="25">
        <v>3</v>
      </c>
      <c r="Y15" s="25">
        <v>0</v>
      </c>
      <c r="Z15" s="25">
        <v>19</v>
      </c>
      <c r="AA15" s="25">
        <v>8</v>
      </c>
      <c r="AB15" s="25">
        <v>0</v>
      </c>
      <c r="AC15" s="25">
        <v>35</v>
      </c>
      <c r="AD15" s="25">
        <v>26</v>
      </c>
      <c r="AE15" s="25">
        <v>0</v>
      </c>
      <c r="AF15" s="25">
        <v>19</v>
      </c>
      <c r="AG15" s="25">
        <v>13</v>
      </c>
      <c r="AH15" s="25">
        <v>0</v>
      </c>
      <c r="AI15" s="25">
        <v>43</v>
      </c>
      <c r="AJ15" s="25">
        <v>39</v>
      </c>
      <c r="AK15" s="25">
        <v>2</v>
      </c>
      <c r="AL15" s="25">
        <f t="shared" si="9"/>
        <v>539</v>
      </c>
      <c r="AM15" s="25">
        <f t="shared" si="10"/>
        <v>393</v>
      </c>
      <c r="AN15" s="25">
        <v>40</v>
      </c>
      <c r="AO15" s="25">
        <v>33</v>
      </c>
      <c r="AP15" s="25">
        <v>0</v>
      </c>
      <c r="AQ15" s="25">
        <v>57</v>
      </c>
      <c r="AR15" s="25">
        <v>41</v>
      </c>
      <c r="AS15" s="25">
        <v>2</v>
      </c>
      <c r="AT15" s="25">
        <v>9</v>
      </c>
      <c r="AU15" s="25">
        <v>7</v>
      </c>
      <c r="AV15" s="25">
        <v>0</v>
      </c>
      <c r="AW15" s="25">
        <v>4</v>
      </c>
      <c r="AX15" s="25">
        <v>4</v>
      </c>
      <c r="AY15" s="25">
        <v>0</v>
      </c>
      <c r="AZ15" s="25">
        <v>0</v>
      </c>
      <c r="BA15" s="25">
        <v>0</v>
      </c>
      <c r="BB15" s="25">
        <v>0</v>
      </c>
      <c r="BC15" s="25">
        <v>0</v>
      </c>
      <c r="BD15" s="25">
        <v>0</v>
      </c>
      <c r="BE15" s="25">
        <v>0</v>
      </c>
      <c r="BF15" s="25">
        <v>0</v>
      </c>
      <c r="BG15" s="25">
        <v>0</v>
      </c>
      <c r="BH15" s="25">
        <v>0</v>
      </c>
      <c r="BI15" s="25">
        <v>0</v>
      </c>
      <c r="BJ15" s="25">
        <v>0</v>
      </c>
      <c r="BK15" s="25">
        <v>0</v>
      </c>
      <c r="BL15" s="25">
        <v>0</v>
      </c>
      <c r="BM15" s="25">
        <v>0</v>
      </c>
      <c r="BN15" s="25">
        <v>0</v>
      </c>
      <c r="BO15" s="25">
        <v>0</v>
      </c>
      <c r="BP15" s="25">
        <v>0</v>
      </c>
      <c r="BQ15" s="25">
        <v>0</v>
      </c>
      <c r="BR15" s="25">
        <v>0</v>
      </c>
      <c r="BS15" s="25">
        <v>0</v>
      </c>
      <c r="BT15" s="25">
        <v>0</v>
      </c>
      <c r="BU15" s="25">
        <v>0</v>
      </c>
      <c r="BV15" s="25">
        <v>0</v>
      </c>
      <c r="BW15" s="25">
        <v>0</v>
      </c>
      <c r="BX15" s="25">
        <f t="shared" si="11"/>
        <v>110</v>
      </c>
      <c r="BY15" s="25">
        <f t="shared" si="3"/>
        <v>85</v>
      </c>
      <c r="BZ15" s="25">
        <v>1</v>
      </c>
      <c r="CA15" s="25">
        <v>0</v>
      </c>
      <c r="CB15" s="25">
        <v>0</v>
      </c>
      <c r="CC15" s="25">
        <v>0</v>
      </c>
      <c r="CD15" s="25">
        <v>0</v>
      </c>
      <c r="CE15" s="25">
        <v>0</v>
      </c>
      <c r="CF15" s="25">
        <v>0</v>
      </c>
      <c r="CG15" s="25">
        <v>0</v>
      </c>
      <c r="CH15" s="25">
        <v>0</v>
      </c>
      <c r="CI15" s="25">
        <v>0</v>
      </c>
      <c r="CJ15" s="25">
        <v>0</v>
      </c>
      <c r="CK15" s="25">
        <v>0</v>
      </c>
      <c r="CL15" s="25">
        <v>0</v>
      </c>
      <c r="CM15" s="25">
        <v>0</v>
      </c>
      <c r="CN15" s="25">
        <v>0</v>
      </c>
      <c r="CO15" s="25">
        <v>0</v>
      </c>
      <c r="CP15" s="25">
        <v>0</v>
      </c>
      <c r="CQ15" s="25">
        <v>0</v>
      </c>
      <c r="CR15" s="25">
        <v>0</v>
      </c>
      <c r="CS15" s="25">
        <v>0</v>
      </c>
      <c r="CT15" s="25">
        <v>0</v>
      </c>
      <c r="CU15" s="25">
        <v>0</v>
      </c>
      <c r="CV15" s="25">
        <v>0</v>
      </c>
      <c r="CW15" s="25">
        <v>0</v>
      </c>
      <c r="CX15" s="25">
        <v>0</v>
      </c>
      <c r="CY15" s="25">
        <v>0</v>
      </c>
      <c r="CZ15" s="25">
        <v>0</v>
      </c>
      <c r="DA15" s="25">
        <v>0</v>
      </c>
      <c r="DB15" s="25">
        <v>0</v>
      </c>
      <c r="DC15" s="25">
        <v>0</v>
      </c>
      <c r="DD15" s="25">
        <v>0</v>
      </c>
      <c r="DE15" s="25">
        <v>0</v>
      </c>
      <c r="DF15" s="25">
        <v>0</v>
      </c>
      <c r="DG15" s="25">
        <v>0</v>
      </c>
      <c r="DH15" s="25">
        <v>0</v>
      </c>
      <c r="DI15" s="25">
        <v>0</v>
      </c>
      <c r="DJ15" s="25">
        <f t="shared" si="12"/>
        <v>1</v>
      </c>
      <c r="DK15" s="25">
        <f t="shared" si="13"/>
        <v>0</v>
      </c>
      <c r="DL15" s="25">
        <v>0</v>
      </c>
      <c r="DM15" s="25">
        <v>0</v>
      </c>
      <c r="DN15" s="25">
        <v>0</v>
      </c>
      <c r="DO15" s="25">
        <v>0</v>
      </c>
      <c r="DP15" s="25">
        <v>0</v>
      </c>
      <c r="DQ15" s="25">
        <v>0</v>
      </c>
      <c r="DR15" s="25">
        <v>0</v>
      </c>
      <c r="DS15" s="25">
        <v>0</v>
      </c>
      <c r="DT15" s="25">
        <v>0</v>
      </c>
      <c r="DU15" s="25">
        <v>0</v>
      </c>
      <c r="DV15" s="25">
        <v>0</v>
      </c>
      <c r="DW15" s="25">
        <v>0</v>
      </c>
      <c r="DX15" s="25">
        <v>0</v>
      </c>
      <c r="DY15" s="25">
        <v>0</v>
      </c>
      <c r="DZ15" s="25">
        <v>0</v>
      </c>
      <c r="EA15" s="25">
        <v>0</v>
      </c>
      <c r="EB15" s="25">
        <v>0</v>
      </c>
      <c r="EC15" s="25">
        <v>0</v>
      </c>
      <c r="ED15" s="25">
        <v>0</v>
      </c>
      <c r="EE15" s="25">
        <v>0</v>
      </c>
      <c r="EF15" s="25">
        <v>0</v>
      </c>
      <c r="EG15" s="25">
        <v>0</v>
      </c>
      <c r="EH15" s="25">
        <v>0</v>
      </c>
      <c r="EI15" s="25">
        <v>0</v>
      </c>
      <c r="EJ15" s="25">
        <v>0</v>
      </c>
      <c r="EK15" s="25">
        <v>0</v>
      </c>
      <c r="EL15" s="25">
        <v>0</v>
      </c>
      <c r="EM15" s="25">
        <v>0</v>
      </c>
      <c r="EN15" s="25">
        <v>0</v>
      </c>
      <c r="EO15" s="25">
        <v>0</v>
      </c>
      <c r="EP15" s="25">
        <v>0</v>
      </c>
      <c r="EQ15" s="25">
        <v>0</v>
      </c>
      <c r="ER15" s="25">
        <v>0</v>
      </c>
      <c r="ES15" s="25">
        <v>0</v>
      </c>
      <c r="ET15" s="25">
        <v>0</v>
      </c>
      <c r="EU15" s="25">
        <v>0</v>
      </c>
      <c r="EV15" s="25">
        <f t="shared" si="14"/>
        <v>0</v>
      </c>
      <c r="EW15" s="25">
        <f t="shared" si="15"/>
        <v>0</v>
      </c>
      <c r="EX15" s="25">
        <v>0</v>
      </c>
      <c r="EY15" s="25">
        <v>0</v>
      </c>
      <c r="EZ15" s="25">
        <v>0</v>
      </c>
      <c r="FA15" s="25">
        <v>0</v>
      </c>
      <c r="FB15" s="25">
        <v>0</v>
      </c>
      <c r="FC15" s="25">
        <v>0</v>
      </c>
      <c r="FD15" s="25">
        <v>0</v>
      </c>
      <c r="FE15" s="25">
        <v>0</v>
      </c>
      <c r="FF15" s="25">
        <v>0</v>
      </c>
      <c r="FG15" s="25">
        <v>1</v>
      </c>
      <c r="FH15" s="25">
        <v>0</v>
      </c>
      <c r="FI15" s="25">
        <v>1</v>
      </c>
      <c r="FJ15" s="25">
        <v>1</v>
      </c>
      <c r="FK15" s="25">
        <v>1</v>
      </c>
      <c r="FL15" s="25">
        <v>0</v>
      </c>
      <c r="FM15" s="25">
        <v>11</v>
      </c>
      <c r="FN15" s="25">
        <v>9</v>
      </c>
      <c r="FO15" s="25">
        <v>0</v>
      </c>
      <c r="FP15" s="25">
        <v>33</v>
      </c>
      <c r="FQ15" s="25">
        <v>29</v>
      </c>
      <c r="FR15" s="25">
        <v>0</v>
      </c>
      <c r="FS15" s="25">
        <v>107</v>
      </c>
      <c r="FT15" s="25">
        <v>89</v>
      </c>
      <c r="FU15" s="25">
        <v>0</v>
      </c>
      <c r="FV15" s="25">
        <v>210</v>
      </c>
      <c r="FW15" s="25">
        <v>174</v>
      </c>
      <c r="FX15" s="25">
        <v>4</v>
      </c>
      <c r="FY15" s="25">
        <v>345</v>
      </c>
      <c r="FZ15" s="25">
        <v>309</v>
      </c>
      <c r="GA15" s="25">
        <v>2</v>
      </c>
      <c r="GB15" s="25">
        <v>433</v>
      </c>
      <c r="GC15" s="25">
        <v>392</v>
      </c>
      <c r="GD15" s="25">
        <v>3</v>
      </c>
      <c r="GE15" s="25">
        <v>541</v>
      </c>
      <c r="GF15" s="25">
        <v>453</v>
      </c>
      <c r="GG15" s="25">
        <v>12</v>
      </c>
      <c r="GH15" s="25">
        <f t="shared" si="0"/>
        <v>1682</v>
      </c>
      <c r="GI15" s="25">
        <f t="shared" si="1"/>
        <v>1456</v>
      </c>
      <c r="GJ15" s="25">
        <v>1556</v>
      </c>
      <c r="GK15" s="25">
        <v>314</v>
      </c>
      <c r="GL15" s="25">
        <v>6</v>
      </c>
      <c r="GM15" s="25">
        <v>347</v>
      </c>
      <c r="GN15" s="25">
        <v>303</v>
      </c>
      <c r="GO15" s="25">
        <v>4</v>
      </c>
      <c r="GP15" s="25">
        <v>336</v>
      </c>
      <c r="GQ15" s="25">
        <v>289</v>
      </c>
      <c r="GR15" s="25">
        <v>5</v>
      </c>
      <c r="GS15" s="25">
        <v>257</v>
      </c>
      <c r="GT15" s="25">
        <v>225</v>
      </c>
      <c r="GU15" s="25">
        <v>3</v>
      </c>
      <c r="GV15" s="25">
        <v>138</v>
      </c>
      <c r="GW15" s="25">
        <v>131</v>
      </c>
      <c r="GX15" s="25">
        <v>2</v>
      </c>
      <c r="GY15" s="25">
        <v>78</v>
      </c>
      <c r="GZ15" s="25">
        <v>75</v>
      </c>
      <c r="HA15" s="25">
        <v>0</v>
      </c>
      <c r="HB15" s="25">
        <v>27</v>
      </c>
      <c r="HC15" s="25">
        <v>20</v>
      </c>
      <c r="HD15" s="25">
        <v>1</v>
      </c>
      <c r="HE15" s="25">
        <v>7</v>
      </c>
      <c r="HF15" s="25">
        <v>6</v>
      </c>
      <c r="HG15" s="25">
        <v>0</v>
      </c>
      <c r="HH15" s="25">
        <v>1</v>
      </c>
      <c r="HI15" s="25">
        <v>1</v>
      </c>
      <c r="HJ15" s="25">
        <v>0</v>
      </c>
      <c r="HK15" s="25">
        <v>0</v>
      </c>
      <c r="HL15" s="25">
        <v>0</v>
      </c>
      <c r="HM15" s="25">
        <v>0</v>
      </c>
      <c r="HN15" s="25">
        <v>0</v>
      </c>
      <c r="HO15" s="25">
        <v>0</v>
      </c>
      <c r="HP15" s="25">
        <v>0</v>
      </c>
      <c r="HQ15" s="25">
        <v>0</v>
      </c>
      <c r="HR15" s="25">
        <v>0</v>
      </c>
      <c r="HS15" s="25">
        <v>0</v>
      </c>
      <c r="HT15" s="25">
        <f t="shared" si="4"/>
        <v>2747</v>
      </c>
      <c r="HU15" s="25">
        <f t="shared" si="2"/>
        <v>1364</v>
      </c>
      <c r="HV15" s="25">
        <v>0</v>
      </c>
      <c r="HW15" s="25">
        <v>0</v>
      </c>
      <c r="HX15" s="25">
        <v>0</v>
      </c>
      <c r="HY15" s="25">
        <v>0</v>
      </c>
      <c r="HZ15" s="25">
        <v>0</v>
      </c>
      <c r="IA15" s="25">
        <v>0</v>
      </c>
      <c r="IB15" s="25">
        <v>1</v>
      </c>
      <c r="IC15" s="25">
        <v>1</v>
      </c>
      <c r="ID15" s="25">
        <v>0</v>
      </c>
      <c r="IE15" s="25">
        <v>5</v>
      </c>
      <c r="IF15" s="25">
        <v>5</v>
      </c>
      <c r="IG15" s="25">
        <v>0</v>
      </c>
      <c r="IH15" s="25">
        <v>10</v>
      </c>
      <c r="II15" s="25">
        <v>9</v>
      </c>
      <c r="IJ15" s="25">
        <v>0</v>
      </c>
      <c r="IK15" s="25">
        <v>17</v>
      </c>
      <c r="IL15" s="25">
        <v>13</v>
      </c>
      <c r="IM15" s="25">
        <v>0</v>
      </c>
      <c r="IN15" s="25">
        <v>35</v>
      </c>
      <c r="IO15" s="25">
        <v>35</v>
      </c>
      <c r="IP15" s="25">
        <v>0</v>
      </c>
      <c r="IQ15" s="25">
        <v>36</v>
      </c>
      <c r="IR15" s="25">
        <v>32</v>
      </c>
      <c r="IS15" s="25">
        <v>0</v>
      </c>
      <c r="IT15" s="25">
        <v>65</v>
      </c>
      <c r="IU15" s="25">
        <v>61</v>
      </c>
      <c r="IV15" s="25">
        <v>1</v>
      </c>
      <c r="IW15" s="25">
        <v>58</v>
      </c>
      <c r="IX15" s="25">
        <v>55</v>
      </c>
      <c r="IY15" s="25">
        <v>0</v>
      </c>
      <c r="IZ15" s="25">
        <v>41</v>
      </c>
      <c r="JA15" s="25">
        <v>39</v>
      </c>
      <c r="JB15" s="25">
        <v>1</v>
      </c>
      <c r="JC15" s="25">
        <v>71</v>
      </c>
      <c r="JD15" s="25">
        <v>66</v>
      </c>
      <c r="JE15" s="25">
        <v>0</v>
      </c>
      <c r="JF15" s="25">
        <f t="shared" si="5"/>
        <v>339</v>
      </c>
      <c r="JG15" s="25">
        <f t="shared" si="6"/>
        <v>277</v>
      </c>
      <c r="JH15" s="25">
        <v>17</v>
      </c>
      <c r="JI15" s="25">
        <v>13</v>
      </c>
      <c r="JJ15" s="25">
        <v>0</v>
      </c>
      <c r="JK15" s="25">
        <v>8</v>
      </c>
      <c r="JL15" s="25">
        <v>6</v>
      </c>
      <c r="JM15" s="25">
        <v>0</v>
      </c>
      <c r="JN15" s="25">
        <v>0</v>
      </c>
      <c r="JO15" s="25">
        <v>0</v>
      </c>
      <c r="JP15" s="25">
        <v>0</v>
      </c>
      <c r="JQ15" s="25">
        <v>0</v>
      </c>
      <c r="JR15" s="25">
        <v>0</v>
      </c>
      <c r="JS15" s="25">
        <v>0</v>
      </c>
      <c r="JT15" s="25">
        <v>24</v>
      </c>
      <c r="JU15" s="25">
        <v>24</v>
      </c>
      <c r="JV15" s="25">
        <v>0</v>
      </c>
      <c r="JW15" s="25">
        <v>30</v>
      </c>
      <c r="JX15" s="25">
        <v>28</v>
      </c>
      <c r="JY15" s="25">
        <v>0</v>
      </c>
      <c r="JZ15" s="25">
        <v>20</v>
      </c>
      <c r="KA15" s="25">
        <v>16</v>
      </c>
      <c r="KB15" s="25">
        <v>2</v>
      </c>
      <c r="KC15" s="26">
        <f t="shared" si="7"/>
        <v>99</v>
      </c>
      <c r="KD15" s="26">
        <f t="shared" si="8"/>
        <v>87</v>
      </c>
    </row>
    <row r="16" spans="1:290" x14ac:dyDescent="0.3">
      <c r="A16" s="33" t="s">
        <v>10</v>
      </c>
      <c r="B16" s="25">
        <v>23</v>
      </c>
      <c r="C16" s="25">
        <v>18</v>
      </c>
      <c r="D16" s="25">
        <v>0</v>
      </c>
      <c r="E16" s="25">
        <v>73</v>
      </c>
      <c r="F16" s="25">
        <v>47</v>
      </c>
      <c r="G16" s="25">
        <v>2</v>
      </c>
      <c r="H16" s="25">
        <v>122</v>
      </c>
      <c r="I16" s="25">
        <v>85</v>
      </c>
      <c r="J16" s="25">
        <v>0</v>
      </c>
      <c r="K16" s="25">
        <v>160</v>
      </c>
      <c r="L16" s="25">
        <v>94</v>
      </c>
      <c r="M16" s="25">
        <v>6</v>
      </c>
      <c r="N16" s="25">
        <v>140</v>
      </c>
      <c r="O16" s="25">
        <v>80</v>
      </c>
      <c r="P16" s="25">
        <v>0</v>
      </c>
      <c r="Q16" s="25">
        <v>224</v>
      </c>
      <c r="R16" s="25">
        <v>123</v>
      </c>
      <c r="S16" s="25">
        <v>5</v>
      </c>
      <c r="T16" s="25">
        <v>142</v>
      </c>
      <c r="U16" s="25">
        <v>99</v>
      </c>
      <c r="V16" s="25">
        <v>3</v>
      </c>
      <c r="W16" s="25">
        <v>108</v>
      </c>
      <c r="X16" s="25">
        <v>65</v>
      </c>
      <c r="Y16" s="25">
        <v>3</v>
      </c>
      <c r="Z16" s="25">
        <v>45</v>
      </c>
      <c r="AA16" s="25">
        <v>37</v>
      </c>
      <c r="AB16" s="25">
        <v>2</v>
      </c>
      <c r="AC16" s="25">
        <v>100</v>
      </c>
      <c r="AD16" s="25">
        <v>70</v>
      </c>
      <c r="AE16" s="25">
        <v>0</v>
      </c>
      <c r="AF16" s="25">
        <v>147</v>
      </c>
      <c r="AG16" s="25">
        <v>99</v>
      </c>
      <c r="AH16" s="25">
        <v>2</v>
      </c>
      <c r="AI16" s="25">
        <v>138</v>
      </c>
      <c r="AJ16" s="25">
        <v>93</v>
      </c>
      <c r="AK16" s="25">
        <v>2</v>
      </c>
      <c r="AL16" s="25">
        <f t="shared" si="9"/>
        <v>1422</v>
      </c>
      <c r="AM16" s="25">
        <f t="shared" si="10"/>
        <v>910</v>
      </c>
      <c r="AN16" s="25">
        <v>120</v>
      </c>
      <c r="AO16" s="25">
        <v>79</v>
      </c>
      <c r="AP16" s="25">
        <v>3</v>
      </c>
      <c r="AQ16" s="25">
        <v>85</v>
      </c>
      <c r="AR16" s="25">
        <v>44</v>
      </c>
      <c r="AS16" s="25">
        <v>3</v>
      </c>
      <c r="AT16" s="25">
        <v>74</v>
      </c>
      <c r="AU16" s="25">
        <v>40</v>
      </c>
      <c r="AV16" s="25">
        <v>1</v>
      </c>
      <c r="AW16" s="25">
        <v>64</v>
      </c>
      <c r="AX16" s="25">
        <v>47</v>
      </c>
      <c r="AY16" s="25">
        <v>0</v>
      </c>
      <c r="AZ16" s="25">
        <v>18</v>
      </c>
      <c r="BA16" s="25">
        <v>11</v>
      </c>
      <c r="BB16" s="25">
        <v>1</v>
      </c>
      <c r="BC16" s="25">
        <v>0</v>
      </c>
      <c r="BD16" s="25">
        <v>0</v>
      </c>
      <c r="BE16" s="25">
        <v>0</v>
      </c>
      <c r="BF16" s="25">
        <v>0</v>
      </c>
      <c r="BG16" s="25">
        <v>0</v>
      </c>
      <c r="BH16" s="25">
        <v>0</v>
      </c>
      <c r="BI16" s="25">
        <v>0</v>
      </c>
      <c r="BJ16" s="25">
        <v>0</v>
      </c>
      <c r="BK16" s="25">
        <v>0</v>
      </c>
      <c r="BL16" s="25">
        <v>0</v>
      </c>
      <c r="BM16" s="25">
        <v>0</v>
      </c>
      <c r="BN16" s="25">
        <v>0</v>
      </c>
      <c r="BO16" s="25">
        <v>0</v>
      </c>
      <c r="BP16" s="25">
        <v>0</v>
      </c>
      <c r="BQ16" s="25">
        <v>0</v>
      </c>
      <c r="BR16" s="25">
        <v>0</v>
      </c>
      <c r="BS16" s="25">
        <v>0</v>
      </c>
      <c r="BT16" s="25">
        <v>0</v>
      </c>
      <c r="BU16" s="25">
        <v>0</v>
      </c>
      <c r="BV16" s="25">
        <v>0</v>
      </c>
      <c r="BW16" s="25">
        <v>0</v>
      </c>
      <c r="BX16" s="25">
        <f t="shared" si="11"/>
        <v>361</v>
      </c>
      <c r="BY16" s="25">
        <f t="shared" si="3"/>
        <v>221</v>
      </c>
      <c r="BZ16" s="25">
        <v>0</v>
      </c>
      <c r="CA16" s="25">
        <v>0</v>
      </c>
      <c r="CB16" s="25">
        <v>0</v>
      </c>
      <c r="CC16" s="25">
        <v>0</v>
      </c>
      <c r="CD16" s="25">
        <v>0</v>
      </c>
      <c r="CE16" s="25">
        <v>0</v>
      </c>
      <c r="CF16" s="25">
        <v>0</v>
      </c>
      <c r="CG16" s="25">
        <v>0</v>
      </c>
      <c r="CH16" s="25">
        <v>0</v>
      </c>
      <c r="CI16" s="25">
        <v>0</v>
      </c>
      <c r="CJ16" s="25">
        <v>0</v>
      </c>
      <c r="CK16" s="25">
        <v>0</v>
      </c>
      <c r="CL16" s="25">
        <v>0</v>
      </c>
      <c r="CM16" s="25">
        <v>0</v>
      </c>
      <c r="CN16" s="25">
        <v>0</v>
      </c>
      <c r="CO16" s="25">
        <v>0</v>
      </c>
      <c r="CP16" s="25">
        <v>0</v>
      </c>
      <c r="CQ16" s="25">
        <v>0</v>
      </c>
      <c r="CR16" s="25">
        <v>0</v>
      </c>
      <c r="CS16" s="25">
        <v>0</v>
      </c>
      <c r="CT16" s="25">
        <v>0</v>
      </c>
      <c r="CU16" s="25">
        <v>0</v>
      </c>
      <c r="CV16" s="25">
        <v>0</v>
      </c>
      <c r="CW16" s="25">
        <v>0</v>
      </c>
      <c r="CX16" s="25">
        <v>0</v>
      </c>
      <c r="CY16" s="25">
        <v>0</v>
      </c>
      <c r="CZ16" s="25">
        <v>0</v>
      </c>
      <c r="DA16" s="25">
        <v>0</v>
      </c>
      <c r="DB16" s="25">
        <v>0</v>
      </c>
      <c r="DC16" s="25">
        <v>0</v>
      </c>
      <c r="DD16" s="25">
        <v>0</v>
      </c>
      <c r="DE16" s="25">
        <v>0</v>
      </c>
      <c r="DF16" s="25">
        <v>0</v>
      </c>
      <c r="DG16" s="25">
        <v>0</v>
      </c>
      <c r="DH16" s="25">
        <v>0</v>
      </c>
      <c r="DI16" s="25">
        <v>0</v>
      </c>
      <c r="DJ16" s="25">
        <f t="shared" si="12"/>
        <v>0</v>
      </c>
      <c r="DK16" s="25">
        <f t="shared" si="13"/>
        <v>0</v>
      </c>
      <c r="DL16" s="25">
        <v>0</v>
      </c>
      <c r="DM16" s="25">
        <v>0</v>
      </c>
      <c r="DN16" s="25">
        <v>0</v>
      </c>
      <c r="DO16" s="25">
        <v>0</v>
      </c>
      <c r="DP16" s="25">
        <v>0</v>
      </c>
      <c r="DQ16" s="25">
        <v>0</v>
      </c>
      <c r="DR16" s="25">
        <v>0</v>
      </c>
      <c r="DS16" s="25">
        <v>0</v>
      </c>
      <c r="DT16" s="25">
        <v>0</v>
      </c>
      <c r="DU16" s="25">
        <v>0</v>
      </c>
      <c r="DV16" s="25">
        <v>0</v>
      </c>
      <c r="DW16" s="25">
        <v>0</v>
      </c>
      <c r="DX16" s="25">
        <v>0</v>
      </c>
      <c r="DY16" s="25">
        <v>0</v>
      </c>
      <c r="DZ16" s="25">
        <v>0</v>
      </c>
      <c r="EA16" s="25">
        <v>0</v>
      </c>
      <c r="EB16" s="25">
        <v>0</v>
      </c>
      <c r="EC16" s="25">
        <v>0</v>
      </c>
      <c r="ED16" s="25">
        <v>0</v>
      </c>
      <c r="EE16" s="25">
        <v>0</v>
      </c>
      <c r="EF16" s="25">
        <v>0</v>
      </c>
      <c r="EG16" s="25">
        <v>0</v>
      </c>
      <c r="EH16" s="25">
        <v>0</v>
      </c>
      <c r="EI16" s="25">
        <v>0</v>
      </c>
      <c r="EJ16" s="25">
        <v>0</v>
      </c>
      <c r="EK16" s="25">
        <v>0</v>
      </c>
      <c r="EL16" s="25">
        <v>0</v>
      </c>
      <c r="EM16" s="25">
        <v>0</v>
      </c>
      <c r="EN16" s="25">
        <v>0</v>
      </c>
      <c r="EO16" s="25">
        <v>0</v>
      </c>
      <c r="EP16" s="25">
        <v>0</v>
      </c>
      <c r="EQ16" s="25">
        <v>0</v>
      </c>
      <c r="ER16" s="25">
        <v>0</v>
      </c>
      <c r="ES16" s="25">
        <v>0</v>
      </c>
      <c r="ET16" s="25">
        <v>0</v>
      </c>
      <c r="EU16" s="25">
        <v>0</v>
      </c>
      <c r="EV16" s="25">
        <f t="shared" si="14"/>
        <v>0</v>
      </c>
      <c r="EW16" s="25">
        <f t="shared" si="15"/>
        <v>0</v>
      </c>
      <c r="EX16" s="25">
        <v>0</v>
      </c>
      <c r="EY16" s="25">
        <v>0</v>
      </c>
      <c r="EZ16" s="25">
        <v>0</v>
      </c>
      <c r="FA16" s="25">
        <v>0</v>
      </c>
      <c r="FB16" s="25">
        <v>0</v>
      </c>
      <c r="FC16" s="25">
        <v>0</v>
      </c>
      <c r="FD16" s="25">
        <v>0</v>
      </c>
      <c r="FE16" s="25">
        <v>0</v>
      </c>
      <c r="FF16" s="25">
        <v>0</v>
      </c>
      <c r="FG16" s="25">
        <v>0</v>
      </c>
      <c r="FH16" s="25">
        <v>0</v>
      </c>
      <c r="FI16" s="25">
        <v>0</v>
      </c>
      <c r="FJ16" s="25">
        <v>0</v>
      </c>
      <c r="FK16" s="25">
        <v>0</v>
      </c>
      <c r="FL16" s="25">
        <v>0</v>
      </c>
      <c r="FM16" s="25">
        <v>13</v>
      </c>
      <c r="FN16" s="25">
        <v>13</v>
      </c>
      <c r="FO16" s="25">
        <v>0</v>
      </c>
      <c r="FP16" s="25">
        <v>37</v>
      </c>
      <c r="FQ16" s="25">
        <v>33</v>
      </c>
      <c r="FR16" s="25">
        <v>1</v>
      </c>
      <c r="FS16" s="25">
        <v>57</v>
      </c>
      <c r="FT16" s="25">
        <v>49</v>
      </c>
      <c r="FU16" s="25">
        <v>2</v>
      </c>
      <c r="FV16" s="25">
        <v>218</v>
      </c>
      <c r="FW16" s="25">
        <v>185</v>
      </c>
      <c r="FX16" s="25">
        <v>4</v>
      </c>
      <c r="FY16" s="25">
        <v>523</v>
      </c>
      <c r="FZ16" s="25">
        <v>442</v>
      </c>
      <c r="GA16" s="25">
        <v>4</v>
      </c>
      <c r="GB16" s="25">
        <v>796</v>
      </c>
      <c r="GC16" s="25">
        <v>627</v>
      </c>
      <c r="GD16" s="25">
        <v>14</v>
      </c>
      <c r="GE16" s="25">
        <v>1220</v>
      </c>
      <c r="GF16" s="25">
        <v>919</v>
      </c>
      <c r="GG16" s="25">
        <v>44</v>
      </c>
      <c r="GH16" s="25">
        <f t="shared" si="0"/>
        <v>2864</v>
      </c>
      <c r="GI16" s="25">
        <f t="shared" si="1"/>
        <v>2268</v>
      </c>
      <c r="GJ16" s="25">
        <v>1920</v>
      </c>
      <c r="GK16" s="25">
        <v>430</v>
      </c>
      <c r="GL16" s="25">
        <v>23</v>
      </c>
      <c r="GM16" s="25">
        <v>516</v>
      </c>
      <c r="GN16" s="25">
        <v>333</v>
      </c>
      <c r="GO16" s="25">
        <v>18</v>
      </c>
      <c r="GP16" s="25">
        <v>293</v>
      </c>
      <c r="GQ16" s="25">
        <v>232</v>
      </c>
      <c r="GR16" s="25">
        <v>4</v>
      </c>
      <c r="GS16" s="25">
        <v>222</v>
      </c>
      <c r="GT16" s="25">
        <v>197</v>
      </c>
      <c r="GU16" s="25">
        <v>8</v>
      </c>
      <c r="GV16" s="25">
        <v>108</v>
      </c>
      <c r="GW16" s="25">
        <v>93</v>
      </c>
      <c r="GX16" s="25">
        <v>1</v>
      </c>
      <c r="GY16" s="25">
        <v>41</v>
      </c>
      <c r="GZ16" s="25">
        <v>30</v>
      </c>
      <c r="HA16" s="25">
        <v>0</v>
      </c>
      <c r="HB16" s="25">
        <v>12</v>
      </c>
      <c r="HC16" s="25">
        <v>12</v>
      </c>
      <c r="HD16" s="25">
        <v>0</v>
      </c>
      <c r="HE16" s="25">
        <v>2</v>
      </c>
      <c r="HF16" s="25">
        <v>2</v>
      </c>
      <c r="HG16" s="25">
        <v>0</v>
      </c>
      <c r="HH16" s="25">
        <v>1</v>
      </c>
      <c r="HI16" s="25">
        <v>1</v>
      </c>
      <c r="HJ16" s="25">
        <v>0</v>
      </c>
      <c r="HK16" s="25">
        <v>4</v>
      </c>
      <c r="HL16" s="25">
        <v>4</v>
      </c>
      <c r="HM16" s="25">
        <v>0</v>
      </c>
      <c r="HN16" s="25">
        <v>29</v>
      </c>
      <c r="HO16" s="25">
        <v>27</v>
      </c>
      <c r="HP16" s="25">
        <v>0</v>
      </c>
      <c r="HQ16" s="25">
        <v>28</v>
      </c>
      <c r="HR16" s="25">
        <v>24</v>
      </c>
      <c r="HS16" s="25">
        <v>2</v>
      </c>
      <c r="HT16" s="25">
        <f t="shared" si="4"/>
        <v>3176</v>
      </c>
      <c r="HU16" s="25">
        <f t="shared" si="2"/>
        <v>1385</v>
      </c>
      <c r="HV16" s="25">
        <v>43</v>
      </c>
      <c r="HW16" s="25">
        <v>36</v>
      </c>
      <c r="HX16" s="25">
        <v>2</v>
      </c>
      <c r="HY16" s="25">
        <v>4</v>
      </c>
      <c r="HZ16" s="25">
        <v>3</v>
      </c>
      <c r="IA16" s="25">
        <v>0</v>
      </c>
      <c r="IB16" s="25">
        <v>2</v>
      </c>
      <c r="IC16" s="25">
        <v>0</v>
      </c>
      <c r="ID16" s="25">
        <v>0</v>
      </c>
      <c r="IE16" s="25">
        <v>2</v>
      </c>
      <c r="IF16" s="25">
        <v>2</v>
      </c>
      <c r="IG16" s="25">
        <v>0</v>
      </c>
      <c r="IH16" s="25">
        <v>5</v>
      </c>
      <c r="II16" s="25">
        <v>3</v>
      </c>
      <c r="IJ16" s="25">
        <v>0</v>
      </c>
      <c r="IK16" s="25">
        <v>6</v>
      </c>
      <c r="IL16" s="25">
        <v>4</v>
      </c>
      <c r="IM16" s="25">
        <v>0</v>
      </c>
      <c r="IN16" s="25">
        <v>0</v>
      </c>
      <c r="IO16" s="25">
        <v>0</v>
      </c>
      <c r="IP16" s="25">
        <v>0</v>
      </c>
      <c r="IQ16" s="25">
        <v>3</v>
      </c>
      <c r="IR16" s="25">
        <v>3</v>
      </c>
      <c r="IS16" s="25">
        <v>0</v>
      </c>
      <c r="IT16" s="25">
        <v>1</v>
      </c>
      <c r="IU16" s="25">
        <v>1</v>
      </c>
      <c r="IV16" s="25">
        <v>0</v>
      </c>
      <c r="IW16" s="25">
        <v>1</v>
      </c>
      <c r="IX16" s="25">
        <v>0</v>
      </c>
      <c r="IY16" s="25">
        <v>0</v>
      </c>
      <c r="IZ16" s="25">
        <v>2</v>
      </c>
      <c r="JA16" s="25">
        <v>2</v>
      </c>
      <c r="JB16" s="25">
        <v>0</v>
      </c>
      <c r="JC16" s="25">
        <v>12</v>
      </c>
      <c r="JD16" s="25">
        <v>11</v>
      </c>
      <c r="JE16" s="25">
        <v>0</v>
      </c>
      <c r="JF16" s="25">
        <f t="shared" si="5"/>
        <v>81</v>
      </c>
      <c r="JG16" s="25">
        <f t="shared" si="6"/>
        <v>63</v>
      </c>
      <c r="JH16" s="25">
        <v>55</v>
      </c>
      <c r="JI16" s="25">
        <v>45</v>
      </c>
      <c r="JJ16" s="25">
        <v>0</v>
      </c>
      <c r="JK16" s="25">
        <v>61</v>
      </c>
      <c r="JL16" s="25">
        <v>52</v>
      </c>
      <c r="JM16" s="25">
        <v>1</v>
      </c>
      <c r="JN16" s="25">
        <v>51</v>
      </c>
      <c r="JO16" s="25">
        <v>46</v>
      </c>
      <c r="JP16" s="25">
        <v>0</v>
      </c>
      <c r="JQ16" s="25">
        <v>26</v>
      </c>
      <c r="JR16" s="25">
        <v>24</v>
      </c>
      <c r="JS16" s="25">
        <v>0</v>
      </c>
      <c r="JT16" s="25">
        <v>21</v>
      </c>
      <c r="JU16" s="25">
        <v>20</v>
      </c>
      <c r="JV16" s="25">
        <v>1</v>
      </c>
      <c r="JW16" s="25">
        <v>9</v>
      </c>
      <c r="JX16" s="25">
        <v>9</v>
      </c>
      <c r="JY16" s="25">
        <v>0</v>
      </c>
      <c r="JZ16" s="25">
        <v>13</v>
      </c>
      <c r="KA16" s="25">
        <v>12</v>
      </c>
      <c r="KB16" s="25">
        <v>0</v>
      </c>
      <c r="KC16" s="26">
        <f t="shared" si="7"/>
        <v>236</v>
      </c>
      <c r="KD16" s="26">
        <f t="shared" si="8"/>
        <v>208</v>
      </c>
    </row>
    <row r="17" spans="1:290" x14ac:dyDescent="0.3">
      <c r="A17" s="33" t="s">
        <v>11</v>
      </c>
      <c r="B17" s="25">
        <v>3</v>
      </c>
      <c r="C17" s="25">
        <v>2</v>
      </c>
      <c r="D17" s="25">
        <v>0</v>
      </c>
      <c r="E17" s="25">
        <v>99</v>
      </c>
      <c r="F17" s="25">
        <v>73</v>
      </c>
      <c r="G17" s="25">
        <v>0</v>
      </c>
      <c r="H17" s="25">
        <v>67</v>
      </c>
      <c r="I17" s="25">
        <v>49</v>
      </c>
      <c r="J17" s="25">
        <v>1</v>
      </c>
      <c r="K17" s="25">
        <v>15</v>
      </c>
      <c r="L17" s="25">
        <v>7</v>
      </c>
      <c r="M17" s="25">
        <v>0</v>
      </c>
      <c r="N17" s="25">
        <v>12</v>
      </c>
      <c r="O17" s="25">
        <v>10</v>
      </c>
      <c r="P17" s="25">
        <v>0</v>
      </c>
      <c r="Q17" s="25">
        <v>1</v>
      </c>
      <c r="R17" s="25">
        <v>1</v>
      </c>
      <c r="S17" s="25">
        <v>0</v>
      </c>
      <c r="T17" s="25">
        <v>0</v>
      </c>
      <c r="U17" s="25">
        <v>0</v>
      </c>
      <c r="V17" s="25">
        <v>0</v>
      </c>
      <c r="W17" s="25">
        <v>0</v>
      </c>
      <c r="X17" s="25">
        <v>0</v>
      </c>
      <c r="Y17" s="25">
        <v>0</v>
      </c>
      <c r="Z17" s="25">
        <v>0</v>
      </c>
      <c r="AA17" s="25">
        <v>0</v>
      </c>
      <c r="AB17" s="25">
        <v>0</v>
      </c>
      <c r="AC17" s="25">
        <v>0</v>
      </c>
      <c r="AD17" s="25">
        <v>0</v>
      </c>
      <c r="AE17" s="25">
        <v>0</v>
      </c>
      <c r="AF17" s="25">
        <v>3</v>
      </c>
      <c r="AG17" s="25">
        <v>2</v>
      </c>
      <c r="AH17" s="25">
        <v>0</v>
      </c>
      <c r="AI17" s="25">
        <v>7</v>
      </c>
      <c r="AJ17" s="25">
        <v>3</v>
      </c>
      <c r="AK17" s="25">
        <v>0</v>
      </c>
      <c r="AL17" s="25">
        <f t="shared" si="9"/>
        <v>207</v>
      </c>
      <c r="AM17" s="25">
        <f t="shared" si="10"/>
        <v>147</v>
      </c>
      <c r="AN17" s="25">
        <v>5</v>
      </c>
      <c r="AO17" s="25">
        <v>3</v>
      </c>
      <c r="AP17" s="25">
        <v>0</v>
      </c>
      <c r="AQ17" s="25">
        <v>8</v>
      </c>
      <c r="AR17" s="25">
        <v>7</v>
      </c>
      <c r="AS17" s="25">
        <v>0</v>
      </c>
      <c r="AT17" s="25">
        <v>4</v>
      </c>
      <c r="AU17" s="25">
        <v>4</v>
      </c>
      <c r="AV17" s="25">
        <v>0</v>
      </c>
      <c r="AW17" s="25">
        <v>1</v>
      </c>
      <c r="AX17" s="25">
        <v>1</v>
      </c>
      <c r="AY17" s="25">
        <v>0</v>
      </c>
      <c r="AZ17" s="25">
        <v>2</v>
      </c>
      <c r="BA17" s="25">
        <v>2</v>
      </c>
      <c r="BB17" s="25">
        <v>0</v>
      </c>
      <c r="BC17" s="25">
        <v>0</v>
      </c>
      <c r="BD17" s="25">
        <v>0</v>
      </c>
      <c r="BE17" s="25">
        <v>0</v>
      </c>
      <c r="BF17" s="25">
        <v>0</v>
      </c>
      <c r="BG17" s="25">
        <v>0</v>
      </c>
      <c r="BH17" s="25">
        <v>0</v>
      </c>
      <c r="BI17" s="25">
        <v>0</v>
      </c>
      <c r="BJ17" s="25">
        <v>0</v>
      </c>
      <c r="BK17" s="25">
        <v>0</v>
      </c>
      <c r="BL17" s="25">
        <v>0</v>
      </c>
      <c r="BM17" s="25">
        <v>0</v>
      </c>
      <c r="BN17" s="25">
        <v>0</v>
      </c>
      <c r="BO17" s="25">
        <v>0</v>
      </c>
      <c r="BP17" s="25">
        <v>0</v>
      </c>
      <c r="BQ17" s="25">
        <v>0</v>
      </c>
      <c r="BR17" s="25">
        <v>0</v>
      </c>
      <c r="BS17" s="25">
        <v>0</v>
      </c>
      <c r="BT17" s="25">
        <v>0</v>
      </c>
      <c r="BU17" s="25">
        <v>0</v>
      </c>
      <c r="BV17" s="25">
        <v>0</v>
      </c>
      <c r="BW17" s="25">
        <v>0</v>
      </c>
      <c r="BX17" s="25">
        <f t="shared" si="11"/>
        <v>20</v>
      </c>
      <c r="BY17" s="25">
        <f t="shared" si="3"/>
        <v>17</v>
      </c>
      <c r="BZ17" s="25">
        <v>0</v>
      </c>
      <c r="CA17" s="25">
        <v>0</v>
      </c>
      <c r="CB17" s="25">
        <v>0</v>
      </c>
      <c r="CC17" s="25">
        <v>0</v>
      </c>
      <c r="CD17" s="25">
        <v>0</v>
      </c>
      <c r="CE17" s="25">
        <v>0</v>
      </c>
      <c r="CF17" s="25">
        <v>0</v>
      </c>
      <c r="CG17" s="25">
        <v>0</v>
      </c>
      <c r="CH17" s="25">
        <v>0</v>
      </c>
      <c r="CI17" s="25">
        <v>0</v>
      </c>
      <c r="CJ17" s="25">
        <v>0</v>
      </c>
      <c r="CK17" s="25">
        <v>0</v>
      </c>
      <c r="CL17" s="25">
        <v>0</v>
      </c>
      <c r="CM17" s="25">
        <v>0</v>
      </c>
      <c r="CN17" s="25">
        <v>0</v>
      </c>
      <c r="CO17" s="25">
        <v>1</v>
      </c>
      <c r="CP17" s="25">
        <v>1</v>
      </c>
      <c r="CQ17" s="25">
        <v>0</v>
      </c>
      <c r="CR17" s="25">
        <v>0</v>
      </c>
      <c r="CS17" s="25">
        <v>0</v>
      </c>
      <c r="CT17" s="25">
        <v>0</v>
      </c>
      <c r="CU17" s="25">
        <v>0</v>
      </c>
      <c r="CV17" s="25">
        <v>0</v>
      </c>
      <c r="CW17" s="25">
        <v>0</v>
      </c>
      <c r="CX17" s="25">
        <v>0</v>
      </c>
      <c r="CY17" s="25">
        <v>0</v>
      </c>
      <c r="CZ17" s="25">
        <v>0</v>
      </c>
      <c r="DA17" s="25">
        <v>0</v>
      </c>
      <c r="DB17" s="25">
        <v>0</v>
      </c>
      <c r="DC17" s="25">
        <v>0</v>
      </c>
      <c r="DD17" s="25">
        <v>0</v>
      </c>
      <c r="DE17" s="25">
        <v>0</v>
      </c>
      <c r="DF17" s="25">
        <v>0</v>
      </c>
      <c r="DG17" s="25">
        <v>0</v>
      </c>
      <c r="DH17" s="25">
        <v>0</v>
      </c>
      <c r="DI17" s="25">
        <v>0</v>
      </c>
      <c r="DJ17" s="25">
        <f t="shared" si="12"/>
        <v>1</v>
      </c>
      <c r="DK17" s="25">
        <f t="shared" si="13"/>
        <v>1</v>
      </c>
      <c r="DL17" s="25">
        <v>0</v>
      </c>
      <c r="DM17" s="25">
        <v>0</v>
      </c>
      <c r="DN17" s="25">
        <v>0</v>
      </c>
      <c r="DO17" s="25">
        <v>0</v>
      </c>
      <c r="DP17" s="25">
        <v>0</v>
      </c>
      <c r="DQ17" s="25">
        <v>0</v>
      </c>
      <c r="DR17" s="25">
        <v>0</v>
      </c>
      <c r="DS17" s="25">
        <v>0</v>
      </c>
      <c r="DT17" s="25">
        <v>0</v>
      </c>
      <c r="DU17" s="25">
        <v>0</v>
      </c>
      <c r="DV17" s="25">
        <v>0</v>
      </c>
      <c r="DW17" s="25">
        <v>0</v>
      </c>
      <c r="DX17" s="25">
        <v>0</v>
      </c>
      <c r="DY17" s="25">
        <v>0</v>
      </c>
      <c r="DZ17" s="25">
        <v>0</v>
      </c>
      <c r="EA17" s="25">
        <v>0</v>
      </c>
      <c r="EB17" s="25">
        <v>0</v>
      </c>
      <c r="EC17" s="25">
        <v>0</v>
      </c>
      <c r="ED17" s="25">
        <v>0</v>
      </c>
      <c r="EE17" s="25">
        <v>0</v>
      </c>
      <c r="EF17" s="25">
        <v>0</v>
      </c>
      <c r="EG17" s="25">
        <v>1</v>
      </c>
      <c r="EH17" s="25">
        <v>1</v>
      </c>
      <c r="EI17" s="25">
        <v>0</v>
      </c>
      <c r="EJ17" s="25">
        <v>0</v>
      </c>
      <c r="EK17" s="25">
        <v>0</v>
      </c>
      <c r="EL17" s="25">
        <v>0</v>
      </c>
      <c r="EM17" s="25">
        <v>0</v>
      </c>
      <c r="EN17" s="25">
        <v>0</v>
      </c>
      <c r="EO17" s="25">
        <v>0</v>
      </c>
      <c r="EP17" s="25">
        <v>0</v>
      </c>
      <c r="EQ17" s="25">
        <v>0</v>
      </c>
      <c r="ER17" s="25">
        <v>0</v>
      </c>
      <c r="ES17" s="25">
        <v>0</v>
      </c>
      <c r="ET17" s="25">
        <v>0</v>
      </c>
      <c r="EU17" s="25">
        <v>0</v>
      </c>
      <c r="EV17" s="25">
        <f t="shared" si="14"/>
        <v>1</v>
      </c>
      <c r="EW17" s="25">
        <f t="shared" si="15"/>
        <v>1</v>
      </c>
      <c r="EX17" s="25">
        <v>0</v>
      </c>
      <c r="EY17" s="25">
        <v>0</v>
      </c>
      <c r="EZ17" s="25">
        <v>0</v>
      </c>
      <c r="FA17" s="25">
        <v>0</v>
      </c>
      <c r="FB17" s="25">
        <v>0</v>
      </c>
      <c r="FC17" s="25">
        <v>0</v>
      </c>
      <c r="FD17" s="25">
        <v>1</v>
      </c>
      <c r="FE17" s="25">
        <v>1</v>
      </c>
      <c r="FF17" s="25">
        <v>0</v>
      </c>
      <c r="FG17" s="25">
        <v>0</v>
      </c>
      <c r="FH17" s="25">
        <v>0</v>
      </c>
      <c r="FI17" s="25">
        <v>0</v>
      </c>
      <c r="FJ17" s="25">
        <v>0</v>
      </c>
      <c r="FK17" s="25">
        <v>0</v>
      </c>
      <c r="FL17" s="25">
        <v>0</v>
      </c>
      <c r="FM17" s="25">
        <v>2</v>
      </c>
      <c r="FN17" s="25">
        <v>2</v>
      </c>
      <c r="FO17" s="25">
        <v>0</v>
      </c>
      <c r="FP17" s="25">
        <v>13</v>
      </c>
      <c r="FQ17" s="25">
        <v>9</v>
      </c>
      <c r="FR17" s="25">
        <v>0</v>
      </c>
      <c r="FS17" s="25">
        <v>14</v>
      </c>
      <c r="FT17" s="25">
        <v>10</v>
      </c>
      <c r="FU17" s="25">
        <v>1</v>
      </c>
      <c r="FV17" s="25">
        <v>12</v>
      </c>
      <c r="FW17" s="25">
        <v>12</v>
      </c>
      <c r="FX17" s="25">
        <v>0</v>
      </c>
      <c r="FY17" s="25">
        <v>38</v>
      </c>
      <c r="FZ17" s="25">
        <v>28</v>
      </c>
      <c r="GA17" s="25">
        <v>0</v>
      </c>
      <c r="GB17" s="25">
        <v>165</v>
      </c>
      <c r="GC17" s="25">
        <v>127</v>
      </c>
      <c r="GD17" s="25">
        <v>6</v>
      </c>
      <c r="GE17" s="25">
        <v>359</v>
      </c>
      <c r="GF17" s="25">
        <v>274</v>
      </c>
      <c r="GG17" s="25">
        <v>7</v>
      </c>
      <c r="GH17" s="25">
        <f t="shared" si="0"/>
        <v>604</v>
      </c>
      <c r="GI17" s="25">
        <f t="shared" si="1"/>
        <v>463</v>
      </c>
      <c r="GJ17" s="25">
        <v>1622</v>
      </c>
      <c r="GK17" s="25">
        <v>205</v>
      </c>
      <c r="GL17" s="25">
        <v>20</v>
      </c>
      <c r="GM17" s="25">
        <v>469</v>
      </c>
      <c r="GN17" s="25">
        <v>284</v>
      </c>
      <c r="GO17" s="25">
        <v>32</v>
      </c>
      <c r="GP17" s="25">
        <v>343</v>
      </c>
      <c r="GQ17" s="25">
        <v>212</v>
      </c>
      <c r="GR17" s="25">
        <v>22</v>
      </c>
      <c r="GS17" s="25">
        <v>278</v>
      </c>
      <c r="GT17" s="25">
        <v>189</v>
      </c>
      <c r="GU17" s="25">
        <v>10</v>
      </c>
      <c r="GV17" s="25">
        <v>112</v>
      </c>
      <c r="GW17" s="25">
        <v>74</v>
      </c>
      <c r="GX17" s="25">
        <v>13</v>
      </c>
      <c r="GY17" s="25">
        <v>55</v>
      </c>
      <c r="GZ17" s="25">
        <v>40</v>
      </c>
      <c r="HA17" s="25">
        <v>3</v>
      </c>
      <c r="HB17" s="25">
        <v>10</v>
      </c>
      <c r="HC17" s="25">
        <v>5</v>
      </c>
      <c r="HD17" s="25">
        <v>1</v>
      </c>
      <c r="HE17" s="25">
        <v>6</v>
      </c>
      <c r="HF17" s="25">
        <v>6</v>
      </c>
      <c r="HG17" s="25">
        <v>0</v>
      </c>
      <c r="HH17" s="25">
        <v>4</v>
      </c>
      <c r="HI17" s="25">
        <v>4</v>
      </c>
      <c r="HJ17" s="25">
        <v>0</v>
      </c>
      <c r="HK17" s="25">
        <v>13</v>
      </c>
      <c r="HL17" s="25">
        <v>13</v>
      </c>
      <c r="HM17" s="25">
        <v>0</v>
      </c>
      <c r="HN17" s="25">
        <v>23</v>
      </c>
      <c r="HO17" s="25">
        <v>21</v>
      </c>
      <c r="HP17" s="25">
        <v>2</v>
      </c>
      <c r="HQ17" s="25">
        <v>5</v>
      </c>
      <c r="HR17" s="25">
        <v>4</v>
      </c>
      <c r="HS17" s="25">
        <v>1</v>
      </c>
      <c r="HT17" s="25">
        <f t="shared" si="4"/>
        <v>2940</v>
      </c>
      <c r="HU17" s="25">
        <f t="shared" si="2"/>
        <v>1057</v>
      </c>
      <c r="HV17" s="25">
        <v>15</v>
      </c>
      <c r="HW17" s="25">
        <v>14</v>
      </c>
      <c r="HX17" s="25">
        <v>0</v>
      </c>
      <c r="HY17" s="25">
        <v>19</v>
      </c>
      <c r="HZ17" s="25">
        <v>13</v>
      </c>
      <c r="IA17" s="25">
        <v>0</v>
      </c>
      <c r="IB17" s="25">
        <v>21</v>
      </c>
      <c r="IC17" s="25">
        <v>19</v>
      </c>
      <c r="ID17" s="25">
        <v>0</v>
      </c>
      <c r="IE17" s="25">
        <v>32</v>
      </c>
      <c r="IF17" s="25">
        <v>27</v>
      </c>
      <c r="IG17" s="25">
        <v>2</v>
      </c>
      <c r="IH17" s="25">
        <v>11</v>
      </c>
      <c r="II17" s="25">
        <v>10</v>
      </c>
      <c r="IJ17" s="25">
        <v>0</v>
      </c>
      <c r="IK17" s="25">
        <v>3</v>
      </c>
      <c r="IL17" s="25">
        <v>2</v>
      </c>
      <c r="IM17" s="25">
        <v>0</v>
      </c>
      <c r="IN17" s="25">
        <v>0</v>
      </c>
      <c r="IO17" s="25">
        <v>0</v>
      </c>
      <c r="IP17" s="25">
        <v>0</v>
      </c>
      <c r="IQ17" s="25">
        <v>0</v>
      </c>
      <c r="IR17" s="25">
        <v>0</v>
      </c>
      <c r="IS17" s="25">
        <v>0</v>
      </c>
      <c r="IT17" s="25">
        <v>1</v>
      </c>
      <c r="IU17" s="25">
        <v>1</v>
      </c>
      <c r="IV17" s="25">
        <v>0</v>
      </c>
      <c r="IW17" s="25">
        <v>1</v>
      </c>
      <c r="IX17" s="25">
        <v>1</v>
      </c>
      <c r="IY17" s="25">
        <v>0</v>
      </c>
      <c r="IZ17" s="25">
        <v>6</v>
      </c>
      <c r="JA17" s="25">
        <v>6</v>
      </c>
      <c r="JB17" s="25">
        <v>0</v>
      </c>
      <c r="JC17" s="25">
        <v>41</v>
      </c>
      <c r="JD17" s="25">
        <v>39</v>
      </c>
      <c r="JE17" s="25">
        <v>0</v>
      </c>
      <c r="JF17" s="25">
        <f t="shared" si="5"/>
        <v>150</v>
      </c>
      <c r="JG17" s="25">
        <f t="shared" si="6"/>
        <v>126</v>
      </c>
      <c r="JH17" s="25">
        <v>35</v>
      </c>
      <c r="JI17" s="25">
        <v>26</v>
      </c>
      <c r="JJ17" s="25">
        <v>2</v>
      </c>
      <c r="JK17" s="25">
        <v>17</v>
      </c>
      <c r="JL17" s="25">
        <v>14</v>
      </c>
      <c r="JM17" s="25">
        <v>0</v>
      </c>
      <c r="JN17" s="25">
        <v>89</v>
      </c>
      <c r="JO17" s="25">
        <v>73</v>
      </c>
      <c r="JP17" s="25">
        <v>4</v>
      </c>
      <c r="JQ17" s="25">
        <v>143</v>
      </c>
      <c r="JR17" s="25">
        <v>121</v>
      </c>
      <c r="JS17" s="25">
        <v>3</v>
      </c>
      <c r="JT17" s="25">
        <v>84</v>
      </c>
      <c r="JU17" s="25">
        <v>70</v>
      </c>
      <c r="JV17" s="25">
        <v>2</v>
      </c>
      <c r="JW17" s="25">
        <v>30</v>
      </c>
      <c r="JX17" s="25">
        <v>23</v>
      </c>
      <c r="JY17" s="25">
        <v>0</v>
      </c>
      <c r="JZ17" s="25">
        <v>4</v>
      </c>
      <c r="KA17" s="25">
        <v>3</v>
      </c>
      <c r="KB17" s="25">
        <v>0</v>
      </c>
      <c r="KC17" s="26">
        <f t="shared" si="7"/>
        <v>402</v>
      </c>
      <c r="KD17" s="26">
        <f t="shared" si="8"/>
        <v>330</v>
      </c>
    </row>
    <row r="18" spans="1:290" x14ac:dyDescent="0.3">
      <c r="A18" s="33" t="s">
        <v>12</v>
      </c>
      <c r="B18" s="25">
        <v>22</v>
      </c>
      <c r="C18" s="25">
        <v>14</v>
      </c>
      <c r="D18" s="25">
        <v>0</v>
      </c>
      <c r="E18" s="25">
        <v>102</v>
      </c>
      <c r="F18" s="25">
        <v>40</v>
      </c>
      <c r="G18" s="25">
        <v>0</v>
      </c>
      <c r="H18" s="25">
        <v>84</v>
      </c>
      <c r="I18" s="25">
        <v>49</v>
      </c>
      <c r="J18" s="25">
        <v>2</v>
      </c>
      <c r="K18" s="25">
        <v>51</v>
      </c>
      <c r="L18" s="25">
        <v>29</v>
      </c>
      <c r="M18" s="25">
        <v>0</v>
      </c>
      <c r="N18" s="25">
        <v>17</v>
      </c>
      <c r="O18" s="25">
        <v>11</v>
      </c>
      <c r="P18" s="25">
        <v>0</v>
      </c>
      <c r="Q18" s="25">
        <v>2</v>
      </c>
      <c r="R18" s="25">
        <v>2</v>
      </c>
      <c r="S18" s="25">
        <v>0</v>
      </c>
      <c r="T18" s="25">
        <v>1</v>
      </c>
      <c r="U18" s="25">
        <v>1</v>
      </c>
      <c r="V18" s="25">
        <v>0</v>
      </c>
      <c r="W18" s="25">
        <v>1</v>
      </c>
      <c r="X18" s="25">
        <v>0</v>
      </c>
      <c r="Y18" s="25">
        <v>0</v>
      </c>
      <c r="Z18" s="25">
        <v>0</v>
      </c>
      <c r="AA18" s="25">
        <v>0</v>
      </c>
      <c r="AB18" s="25">
        <v>0</v>
      </c>
      <c r="AC18" s="25">
        <v>0</v>
      </c>
      <c r="AD18" s="25">
        <v>0</v>
      </c>
      <c r="AE18" s="25">
        <v>0</v>
      </c>
      <c r="AF18" s="25">
        <v>0</v>
      </c>
      <c r="AG18" s="25">
        <v>0</v>
      </c>
      <c r="AH18" s="25">
        <v>0</v>
      </c>
      <c r="AI18" s="25">
        <v>0</v>
      </c>
      <c r="AJ18" s="25">
        <v>0</v>
      </c>
      <c r="AK18" s="25">
        <v>0</v>
      </c>
      <c r="AL18" s="25">
        <f t="shared" si="9"/>
        <v>280</v>
      </c>
      <c r="AM18" s="25">
        <f t="shared" si="10"/>
        <v>146</v>
      </c>
      <c r="AN18" s="25">
        <v>3</v>
      </c>
      <c r="AO18" s="25">
        <v>3</v>
      </c>
      <c r="AP18" s="25">
        <v>0</v>
      </c>
      <c r="AQ18" s="25">
        <v>4</v>
      </c>
      <c r="AR18" s="25">
        <v>4</v>
      </c>
      <c r="AS18" s="25">
        <v>0</v>
      </c>
      <c r="AT18" s="25">
        <v>3</v>
      </c>
      <c r="AU18" s="25">
        <v>1</v>
      </c>
      <c r="AV18" s="25">
        <v>0</v>
      </c>
      <c r="AW18" s="25">
        <v>4</v>
      </c>
      <c r="AX18" s="25">
        <v>3</v>
      </c>
      <c r="AY18" s="25">
        <v>0</v>
      </c>
      <c r="AZ18" s="25">
        <v>0</v>
      </c>
      <c r="BA18" s="25">
        <v>0</v>
      </c>
      <c r="BB18" s="25">
        <v>0</v>
      </c>
      <c r="BC18" s="25">
        <v>0</v>
      </c>
      <c r="BD18" s="25">
        <v>0</v>
      </c>
      <c r="BE18" s="25">
        <v>0</v>
      </c>
      <c r="BF18" s="25">
        <v>0</v>
      </c>
      <c r="BG18" s="25">
        <v>0</v>
      </c>
      <c r="BH18" s="25">
        <v>0</v>
      </c>
      <c r="BI18" s="25">
        <v>0</v>
      </c>
      <c r="BJ18" s="25">
        <v>0</v>
      </c>
      <c r="BK18" s="25">
        <v>0</v>
      </c>
      <c r="BL18" s="25">
        <v>0</v>
      </c>
      <c r="BM18" s="25">
        <v>0</v>
      </c>
      <c r="BN18" s="25">
        <v>0</v>
      </c>
      <c r="BO18" s="25">
        <v>0</v>
      </c>
      <c r="BP18" s="25">
        <v>0</v>
      </c>
      <c r="BQ18" s="25">
        <v>0</v>
      </c>
      <c r="BR18" s="25">
        <v>0</v>
      </c>
      <c r="BS18" s="25">
        <v>0</v>
      </c>
      <c r="BT18" s="25">
        <v>0</v>
      </c>
      <c r="BU18" s="25">
        <v>0</v>
      </c>
      <c r="BV18" s="25">
        <v>0</v>
      </c>
      <c r="BW18" s="25">
        <v>0</v>
      </c>
      <c r="BX18" s="25">
        <f t="shared" si="11"/>
        <v>14</v>
      </c>
      <c r="BY18" s="25">
        <f t="shared" si="3"/>
        <v>11</v>
      </c>
      <c r="BZ18" s="25">
        <v>0</v>
      </c>
      <c r="CA18" s="25">
        <v>0</v>
      </c>
      <c r="CB18" s="25">
        <v>0</v>
      </c>
      <c r="CC18" s="25">
        <v>0</v>
      </c>
      <c r="CD18" s="25">
        <v>0</v>
      </c>
      <c r="CE18" s="25">
        <v>0</v>
      </c>
      <c r="CF18" s="25">
        <v>0</v>
      </c>
      <c r="CG18" s="25">
        <v>0</v>
      </c>
      <c r="CH18" s="25">
        <v>0</v>
      </c>
      <c r="CI18" s="25">
        <v>0</v>
      </c>
      <c r="CJ18" s="25">
        <v>0</v>
      </c>
      <c r="CK18" s="25">
        <v>0</v>
      </c>
      <c r="CL18" s="25">
        <v>0</v>
      </c>
      <c r="CM18" s="25">
        <v>0</v>
      </c>
      <c r="CN18" s="25">
        <v>0</v>
      </c>
      <c r="CO18" s="25">
        <v>0</v>
      </c>
      <c r="CP18" s="25">
        <v>0</v>
      </c>
      <c r="CQ18" s="25">
        <v>0</v>
      </c>
      <c r="CR18" s="25">
        <v>0</v>
      </c>
      <c r="CS18" s="25">
        <v>0</v>
      </c>
      <c r="CT18" s="25">
        <v>0</v>
      </c>
      <c r="CU18" s="25">
        <v>0</v>
      </c>
      <c r="CV18" s="25">
        <v>0</v>
      </c>
      <c r="CW18" s="25">
        <v>0</v>
      </c>
      <c r="CX18" s="25">
        <v>0</v>
      </c>
      <c r="CY18" s="25">
        <v>0</v>
      </c>
      <c r="CZ18" s="25">
        <v>0</v>
      </c>
      <c r="DA18" s="25">
        <v>0</v>
      </c>
      <c r="DB18" s="25">
        <v>0</v>
      </c>
      <c r="DC18" s="25">
        <v>0</v>
      </c>
      <c r="DD18" s="25">
        <v>0</v>
      </c>
      <c r="DE18" s="25">
        <v>0</v>
      </c>
      <c r="DF18" s="25">
        <v>0</v>
      </c>
      <c r="DG18" s="25">
        <v>0</v>
      </c>
      <c r="DH18" s="25">
        <v>0</v>
      </c>
      <c r="DI18" s="25">
        <v>0</v>
      </c>
      <c r="DJ18" s="25">
        <f t="shared" si="12"/>
        <v>0</v>
      </c>
      <c r="DK18" s="25">
        <f t="shared" si="13"/>
        <v>0</v>
      </c>
      <c r="DL18" s="25">
        <v>0</v>
      </c>
      <c r="DM18" s="25">
        <v>0</v>
      </c>
      <c r="DN18" s="25">
        <v>0</v>
      </c>
      <c r="DO18" s="25">
        <v>0</v>
      </c>
      <c r="DP18" s="25">
        <v>0</v>
      </c>
      <c r="DQ18" s="25">
        <v>0</v>
      </c>
      <c r="DR18" s="25">
        <v>0</v>
      </c>
      <c r="DS18" s="25">
        <v>0</v>
      </c>
      <c r="DT18" s="25">
        <v>0</v>
      </c>
      <c r="DU18" s="25">
        <v>0</v>
      </c>
      <c r="DV18" s="25">
        <v>0</v>
      </c>
      <c r="DW18" s="25">
        <v>0</v>
      </c>
      <c r="DX18" s="25">
        <v>0</v>
      </c>
      <c r="DY18" s="25">
        <v>0</v>
      </c>
      <c r="DZ18" s="25">
        <v>0</v>
      </c>
      <c r="EA18" s="25">
        <v>0</v>
      </c>
      <c r="EB18" s="25">
        <v>0</v>
      </c>
      <c r="EC18" s="25">
        <v>0</v>
      </c>
      <c r="ED18" s="25">
        <v>0</v>
      </c>
      <c r="EE18" s="25">
        <v>0</v>
      </c>
      <c r="EF18" s="25">
        <v>0</v>
      </c>
      <c r="EG18" s="25">
        <v>0</v>
      </c>
      <c r="EH18" s="25">
        <v>0</v>
      </c>
      <c r="EI18" s="25">
        <v>0</v>
      </c>
      <c r="EJ18" s="25">
        <v>0</v>
      </c>
      <c r="EK18" s="25">
        <v>0</v>
      </c>
      <c r="EL18" s="25">
        <v>0</v>
      </c>
      <c r="EM18" s="25">
        <v>0</v>
      </c>
      <c r="EN18" s="25">
        <v>0</v>
      </c>
      <c r="EO18" s="25">
        <v>0</v>
      </c>
      <c r="EP18" s="25">
        <v>0</v>
      </c>
      <c r="EQ18" s="25">
        <v>0</v>
      </c>
      <c r="ER18" s="25">
        <v>0</v>
      </c>
      <c r="ES18" s="25">
        <v>0</v>
      </c>
      <c r="ET18" s="25">
        <v>0</v>
      </c>
      <c r="EU18" s="25">
        <v>0</v>
      </c>
      <c r="EV18" s="25">
        <f t="shared" si="14"/>
        <v>0</v>
      </c>
      <c r="EW18" s="25">
        <f t="shared" si="15"/>
        <v>0</v>
      </c>
      <c r="EX18" s="25">
        <v>0</v>
      </c>
      <c r="EY18" s="25">
        <v>0</v>
      </c>
      <c r="EZ18" s="25">
        <v>0</v>
      </c>
      <c r="FA18" s="25">
        <v>0</v>
      </c>
      <c r="FB18" s="25">
        <v>0</v>
      </c>
      <c r="FC18" s="25">
        <v>0</v>
      </c>
      <c r="FD18" s="25">
        <v>0</v>
      </c>
      <c r="FE18" s="25">
        <v>0</v>
      </c>
      <c r="FF18" s="25">
        <v>0</v>
      </c>
      <c r="FG18" s="25">
        <v>0</v>
      </c>
      <c r="FH18" s="25">
        <v>0</v>
      </c>
      <c r="FI18" s="25">
        <v>0</v>
      </c>
      <c r="FJ18" s="25">
        <v>2</v>
      </c>
      <c r="FK18" s="25">
        <v>1</v>
      </c>
      <c r="FL18" s="25">
        <v>0</v>
      </c>
      <c r="FM18" s="25">
        <v>1</v>
      </c>
      <c r="FN18" s="25">
        <v>0</v>
      </c>
      <c r="FO18" s="25">
        <v>0</v>
      </c>
      <c r="FP18" s="25">
        <v>7</v>
      </c>
      <c r="FQ18" s="25">
        <v>4</v>
      </c>
      <c r="FR18" s="25">
        <v>0</v>
      </c>
      <c r="FS18" s="25">
        <v>7</v>
      </c>
      <c r="FT18" s="25">
        <v>7</v>
      </c>
      <c r="FU18" s="25">
        <v>0</v>
      </c>
      <c r="FV18" s="25">
        <v>1</v>
      </c>
      <c r="FW18" s="25">
        <v>1</v>
      </c>
      <c r="FX18" s="25">
        <v>0</v>
      </c>
      <c r="FY18" s="25">
        <v>10</v>
      </c>
      <c r="FZ18" s="25">
        <v>4</v>
      </c>
      <c r="GA18" s="25">
        <v>0</v>
      </c>
      <c r="GB18" s="25">
        <v>47</v>
      </c>
      <c r="GC18" s="25">
        <v>9</v>
      </c>
      <c r="GD18" s="25">
        <v>6</v>
      </c>
      <c r="GE18" s="25">
        <v>166</v>
      </c>
      <c r="GF18" s="25">
        <v>56</v>
      </c>
      <c r="GG18" s="25">
        <v>24</v>
      </c>
      <c r="GH18" s="25">
        <f t="shared" si="0"/>
        <v>241</v>
      </c>
      <c r="GI18" s="25">
        <f t="shared" si="1"/>
        <v>82</v>
      </c>
      <c r="GJ18" s="25">
        <v>338</v>
      </c>
      <c r="GK18" s="25">
        <v>63</v>
      </c>
      <c r="GL18" s="25">
        <v>4</v>
      </c>
      <c r="GM18" s="25">
        <v>89</v>
      </c>
      <c r="GN18" s="25">
        <v>36</v>
      </c>
      <c r="GO18" s="25">
        <v>6</v>
      </c>
      <c r="GP18" s="25">
        <v>35</v>
      </c>
      <c r="GQ18" s="25">
        <v>12</v>
      </c>
      <c r="GR18" s="25">
        <v>1</v>
      </c>
      <c r="GS18" s="25">
        <v>33</v>
      </c>
      <c r="GT18" s="25">
        <v>24</v>
      </c>
      <c r="GU18" s="25">
        <v>3</v>
      </c>
      <c r="GV18" s="25">
        <v>49</v>
      </c>
      <c r="GW18" s="25">
        <v>33</v>
      </c>
      <c r="GX18" s="25">
        <v>5</v>
      </c>
      <c r="GY18" s="25">
        <v>10</v>
      </c>
      <c r="GZ18" s="25">
        <v>8</v>
      </c>
      <c r="HA18" s="25">
        <v>0</v>
      </c>
      <c r="HB18" s="25">
        <v>1</v>
      </c>
      <c r="HC18" s="25">
        <v>1</v>
      </c>
      <c r="HD18" s="25">
        <v>0</v>
      </c>
      <c r="HE18" s="25">
        <v>0</v>
      </c>
      <c r="HF18" s="25">
        <v>0</v>
      </c>
      <c r="HG18" s="25">
        <v>0</v>
      </c>
      <c r="HH18" s="25">
        <v>1</v>
      </c>
      <c r="HI18" s="25">
        <v>1</v>
      </c>
      <c r="HJ18" s="25">
        <v>0</v>
      </c>
      <c r="HK18" s="25">
        <v>0</v>
      </c>
      <c r="HL18" s="25">
        <v>0</v>
      </c>
      <c r="HM18" s="25">
        <v>0</v>
      </c>
      <c r="HN18" s="25">
        <v>0</v>
      </c>
      <c r="HO18" s="25">
        <v>0</v>
      </c>
      <c r="HP18" s="25">
        <v>0</v>
      </c>
      <c r="HQ18" s="25">
        <v>6</v>
      </c>
      <c r="HR18" s="25">
        <v>6</v>
      </c>
      <c r="HS18" s="25">
        <v>0</v>
      </c>
      <c r="HT18" s="25">
        <f t="shared" si="4"/>
        <v>562</v>
      </c>
      <c r="HU18" s="25">
        <f t="shared" si="2"/>
        <v>184</v>
      </c>
      <c r="HV18" s="25">
        <v>16</v>
      </c>
      <c r="HW18" s="25">
        <v>15</v>
      </c>
      <c r="HX18" s="25">
        <v>0</v>
      </c>
      <c r="HY18" s="25">
        <v>23</v>
      </c>
      <c r="HZ18" s="25">
        <v>17</v>
      </c>
      <c r="IA18" s="25">
        <v>0</v>
      </c>
      <c r="IB18" s="25">
        <v>8</v>
      </c>
      <c r="IC18" s="25">
        <v>3</v>
      </c>
      <c r="ID18" s="25">
        <v>0</v>
      </c>
      <c r="IE18" s="25">
        <v>4</v>
      </c>
      <c r="IF18" s="25">
        <v>2</v>
      </c>
      <c r="IG18" s="25">
        <v>0</v>
      </c>
      <c r="IH18" s="25">
        <v>10</v>
      </c>
      <c r="II18" s="25">
        <v>8</v>
      </c>
      <c r="IJ18" s="25">
        <v>2</v>
      </c>
      <c r="IK18" s="25">
        <v>4</v>
      </c>
      <c r="IL18" s="25">
        <v>3</v>
      </c>
      <c r="IM18" s="25">
        <v>0</v>
      </c>
      <c r="IN18" s="25">
        <v>0</v>
      </c>
      <c r="IO18" s="25">
        <v>0</v>
      </c>
      <c r="IP18" s="25">
        <v>0</v>
      </c>
      <c r="IQ18" s="25">
        <v>0</v>
      </c>
      <c r="IR18" s="25">
        <v>0</v>
      </c>
      <c r="IS18" s="25">
        <v>0</v>
      </c>
      <c r="IT18" s="25">
        <v>0</v>
      </c>
      <c r="IU18" s="25">
        <v>0</v>
      </c>
      <c r="IV18" s="25">
        <v>0</v>
      </c>
      <c r="IW18" s="25">
        <v>0</v>
      </c>
      <c r="IX18" s="25">
        <v>0</v>
      </c>
      <c r="IY18" s="25">
        <v>0</v>
      </c>
      <c r="IZ18" s="25">
        <v>0</v>
      </c>
      <c r="JA18" s="25">
        <v>0</v>
      </c>
      <c r="JB18" s="25">
        <v>0</v>
      </c>
      <c r="JC18" s="25">
        <v>5</v>
      </c>
      <c r="JD18" s="25">
        <v>5</v>
      </c>
      <c r="JE18" s="25">
        <v>0</v>
      </c>
      <c r="JF18" s="25">
        <f t="shared" si="5"/>
        <v>70</v>
      </c>
      <c r="JG18" s="25">
        <f t="shared" si="6"/>
        <v>53</v>
      </c>
      <c r="JH18" s="25">
        <v>12</v>
      </c>
      <c r="JI18" s="25">
        <v>9</v>
      </c>
      <c r="JJ18" s="25">
        <v>0</v>
      </c>
      <c r="JK18" s="25">
        <v>5</v>
      </c>
      <c r="JL18" s="25">
        <v>2</v>
      </c>
      <c r="JM18" s="25">
        <v>1</v>
      </c>
      <c r="JN18" s="25">
        <v>18</v>
      </c>
      <c r="JO18" s="25">
        <v>15</v>
      </c>
      <c r="JP18" s="25">
        <v>0</v>
      </c>
      <c r="JQ18" s="25">
        <v>27</v>
      </c>
      <c r="JR18" s="25">
        <v>18</v>
      </c>
      <c r="JS18" s="25">
        <v>0</v>
      </c>
      <c r="JT18" s="25">
        <v>7</v>
      </c>
      <c r="JU18" s="25">
        <v>6</v>
      </c>
      <c r="JV18" s="25">
        <v>0</v>
      </c>
      <c r="JW18" s="25">
        <v>3</v>
      </c>
      <c r="JX18" s="25">
        <v>0</v>
      </c>
      <c r="JY18" s="25">
        <v>0</v>
      </c>
      <c r="JZ18" s="25">
        <v>2</v>
      </c>
      <c r="KA18" s="25">
        <v>0</v>
      </c>
      <c r="KB18" s="25">
        <v>0</v>
      </c>
      <c r="KC18" s="26">
        <f t="shared" si="7"/>
        <v>74</v>
      </c>
      <c r="KD18" s="26">
        <f t="shared" si="8"/>
        <v>50</v>
      </c>
    </row>
    <row r="19" spans="1:290" x14ac:dyDescent="0.3">
      <c r="A19" s="33" t="s">
        <v>13</v>
      </c>
      <c r="B19" s="25">
        <v>55</v>
      </c>
      <c r="C19" s="25">
        <v>47</v>
      </c>
      <c r="D19" s="25">
        <v>0</v>
      </c>
      <c r="E19" s="25">
        <v>167</v>
      </c>
      <c r="F19" s="25">
        <v>139</v>
      </c>
      <c r="G19" s="25">
        <v>2</v>
      </c>
      <c r="H19" s="25">
        <v>214</v>
      </c>
      <c r="I19" s="25">
        <v>158</v>
      </c>
      <c r="J19" s="25">
        <v>5</v>
      </c>
      <c r="K19" s="25">
        <v>141</v>
      </c>
      <c r="L19" s="25">
        <v>115</v>
      </c>
      <c r="M19" s="25">
        <v>1</v>
      </c>
      <c r="N19" s="25">
        <v>45</v>
      </c>
      <c r="O19" s="25">
        <v>38</v>
      </c>
      <c r="P19" s="25">
        <v>1</v>
      </c>
      <c r="Q19" s="25">
        <v>0</v>
      </c>
      <c r="R19" s="25">
        <v>0</v>
      </c>
      <c r="S19" s="25">
        <v>0</v>
      </c>
      <c r="T19" s="25">
        <v>62</v>
      </c>
      <c r="U19" s="25">
        <v>51</v>
      </c>
      <c r="V19" s="25">
        <v>1</v>
      </c>
      <c r="W19" s="25">
        <v>57</v>
      </c>
      <c r="X19" s="25">
        <v>40</v>
      </c>
      <c r="Y19" s="25">
        <v>4</v>
      </c>
      <c r="Z19" s="25">
        <v>93</v>
      </c>
      <c r="AA19" s="25">
        <v>85</v>
      </c>
      <c r="AB19" s="25">
        <v>2</v>
      </c>
      <c r="AC19" s="25">
        <v>63</v>
      </c>
      <c r="AD19" s="25">
        <v>50</v>
      </c>
      <c r="AE19" s="25">
        <v>3</v>
      </c>
      <c r="AF19" s="25">
        <v>76</v>
      </c>
      <c r="AG19" s="25">
        <v>63</v>
      </c>
      <c r="AH19" s="25">
        <v>2</v>
      </c>
      <c r="AI19" s="25">
        <v>117</v>
      </c>
      <c r="AJ19" s="25">
        <v>80</v>
      </c>
      <c r="AK19" s="25">
        <v>4</v>
      </c>
      <c r="AL19" s="25">
        <f t="shared" si="9"/>
        <v>1090</v>
      </c>
      <c r="AM19" s="25">
        <f t="shared" si="10"/>
        <v>866</v>
      </c>
      <c r="AN19" s="25">
        <v>80</v>
      </c>
      <c r="AO19" s="25">
        <v>49</v>
      </c>
      <c r="AP19" s="25">
        <v>0</v>
      </c>
      <c r="AQ19" s="25">
        <v>28</v>
      </c>
      <c r="AR19" s="25">
        <v>24</v>
      </c>
      <c r="AS19" s="25">
        <v>1</v>
      </c>
      <c r="AT19" s="25">
        <v>49</v>
      </c>
      <c r="AU19" s="25">
        <v>37</v>
      </c>
      <c r="AV19" s="25">
        <v>1</v>
      </c>
      <c r="AW19" s="25">
        <v>0</v>
      </c>
      <c r="AX19" s="25">
        <v>0</v>
      </c>
      <c r="AY19" s="25">
        <v>0</v>
      </c>
      <c r="AZ19" s="25">
        <v>0</v>
      </c>
      <c r="BA19" s="25">
        <v>0</v>
      </c>
      <c r="BB19" s="25">
        <v>0</v>
      </c>
      <c r="BC19" s="25">
        <v>0</v>
      </c>
      <c r="BD19" s="25">
        <v>0</v>
      </c>
      <c r="BE19" s="25">
        <v>0</v>
      </c>
      <c r="BF19" s="25">
        <v>0</v>
      </c>
      <c r="BG19" s="25">
        <v>0</v>
      </c>
      <c r="BH19" s="25">
        <v>0</v>
      </c>
      <c r="BI19" s="25">
        <v>0</v>
      </c>
      <c r="BJ19" s="25">
        <v>0</v>
      </c>
      <c r="BK19" s="25">
        <v>0</v>
      </c>
      <c r="BL19" s="25">
        <v>0</v>
      </c>
      <c r="BM19" s="25">
        <v>0</v>
      </c>
      <c r="BN19" s="25">
        <v>0</v>
      </c>
      <c r="BO19" s="25">
        <v>0</v>
      </c>
      <c r="BP19" s="25">
        <v>0</v>
      </c>
      <c r="BQ19" s="25">
        <v>0</v>
      </c>
      <c r="BR19" s="25">
        <v>0</v>
      </c>
      <c r="BS19" s="25">
        <v>0</v>
      </c>
      <c r="BT19" s="25">
        <v>0</v>
      </c>
      <c r="BU19" s="25">
        <v>0</v>
      </c>
      <c r="BV19" s="25">
        <v>0</v>
      </c>
      <c r="BW19" s="25">
        <v>0</v>
      </c>
      <c r="BX19" s="25">
        <f t="shared" si="11"/>
        <v>157</v>
      </c>
      <c r="BY19" s="25">
        <f t="shared" si="3"/>
        <v>110</v>
      </c>
      <c r="BZ19" s="25">
        <v>0</v>
      </c>
      <c r="CA19" s="25">
        <v>0</v>
      </c>
      <c r="CB19" s="25">
        <v>0</v>
      </c>
      <c r="CC19" s="25">
        <v>0</v>
      </c>
      <c r="CD19" s="25">
        <v>0</v>
      </c>
      <c r="CE19" s="25">
        <v>0</v>
      </c>
      <c r="CF19" s="25">
        <v>0</v>
      </c>
      <c r="CG19" s="25">
        <v>0</v>
      </c>
      <c r="CH19" s="25">
        <v>0</v>
      </c>
      <c r="CI19" s="25">
        <v>0</v>
      </c>
      <c r="CJ19" s="25">
        <v>0</v>
      </c>
      <c r="CK19" s="25">
        <v>0</v>
      </c>
      <c r="CL19" s="25">
        <v>0</v>
      </c>
      <c r="CM19" s="25">
        <v>0</v>
      </c>
      <c r="CN19" s="25">
        <v>0</v>
      </c>
      <c r="CO19" s="25">
        <v>0</v>
      </c>
      <c r="CP19" s="25">
        <v>0</v>
      </c>
      <c r="CQ19" s="25">
        <v>0</v>
      </c>
      <c r="CR19" s="25">
        <v>0</v>
      </c>
      <c r="CS19" s="25">
        <v>0</v>
      </c>
      <c r="CT19" s="25">
        <v>0</v>
      </c>
      <c r="CU19" s="25">
        <v>0</v>
      </c>
      <c r="CV19" s="25">
        <v>0</v>
      </c>
      <c r="CW19" s="25">
        <v>0</v>
      </c>
      <c r="CX19" s="25">
        <v>0</v>
      </c>
      <c r="CY19" s="25">
        <v>0</v>
      </c>
      <c r="CZ19" s="25">
        <v>0</v>
      </c>
      <c r="DA19" s="25">
        <v>0</v>
      </c>
      <c r="DB19" s="25">
        <v>0</v>
      </c>
      <c r="DC19" s="25">
        <v>0</v>
      </c>
      <c r="DD19" s="25">
        <v>0</v>
      </c>
      <c r="DE19" s="25">
        <v>0</v>
      </c>
      <c r="DF19" s="25">
        <v>0</v>
      </c>
      <c r="DG19" s="25">
        <v>0</v>
      </c>
      <c r="DH19" s="25">
        <v>0</v>
      </c>
      <c r="DI19" s="25">
        <v>0</v>
      </c>
      <c r="DJ19" s="25">
        <f t="shared" si="12"/>
        <v>0</v>
      </c>
      <c r="DK19" s="25">
        <f t="shared" si="13"/>
        <v>0</v>
      </c>
      <c r="DL19" s="25">
        <v>0</v>
      </c>
      <c r="DM19" s="25">
        <v>0</v>
      </c>
      <c r="DN19" s="25">
        <v>0</v>
      </c>
      <c r="DO19" s="25">
        <v>0</v>
      </c>
      <c r="DP19" s="25">
        <v>0</v>
      </c>
      <c r="DQ19" s="25">
        <v>0</v>
      </c>
      <c r="DR19" s="25">
        <v>0</v>
      </c>
      <c r="DS19" s="25">
        <v>0</v>
      </c>
      <c r="DT19" s="25">
        <v>0</v>
      </c>
      <c r="DU19" s="25">
        <v>0</v>
      </c>
      <c r="DV19" s="25">
        <v>0</v>
      </c>
      <c r="DW19" s="25">
        <v>0</v>
      </c>
      <c r="DX19" s="25">
        <v>0</v>
      </c>
      <c r="DY19" s="25">
        <v>0</v>
      </c>
      <c r="DZ19" s="25">
        <v>0</v>
      </c>
      <c r="EA19" s="25">
        <v>0</v>
      </c>
      <c r="EB19" s="25">
        <v>0</v>
      </c>
      <c r="EC19" s="25">
        <v>0</v>
      </c>
      <c r="ED19" s="25">
        <v>0</v>
      </c>
      <c r="EE19" s="25">
        <v>0</v>
      </c>
      <c r="EF19" s="25">
        <v>0</v>
      </c>
      <c r="EG19" s="25">
        <v>0</v>
      </c>
      <c r="EH19" s="25">
        <v>0</v>
      </c>
      <c r="EI19" s="25">
        <v>0</v>
      </c>
      <c r="EJ19" s="25">
        <v>0</v>
      </c>
      <c r="EK19" s="25">
        <v>0</v>
      </c>
      <c r="EL19" s="25">
        <v>0</v>
      </c>
      <c r="EM19" s="25">
        <v>0</v>
      </c>
      <c r="EN19" s="25">
        <v>0</v>
      </c>
      <c r="EO19" s="25">
        <v>0</v>
      </c>
      <c r="EP19" s="25">
        <v>0</v>
      </c>
      <c r="EQ19" s="25">
        <v>0</v>
      </c>
      <c r="ER19" s="25">
        <v>0</v>
      </c>
      <c r="ES19" s="25">
        <v>0</v>
      </c>
      <c r="ET19" s="25">
        <v>0</v>
      </c>
      <c r="EU19" s="25">
        <v>0</v>
      </c>
      <c r="EV19" s="25">
        <f t="shared" si="14"/>
        <v>0</v>
      </c>
      <c r="EW19" s="25">
        <f t="shared" si="15"/>
        <v>0</v>
      </c>
      <c r="EX19" s="25">
        <v>0</v>
      </c>
      <c r="EY19" s="25">
        <v>0</v>
      </c>
      <c r="EZ19" s="25">
        <v>0</v>
      </c>
      <c r="FA19" s="25">
        <v>0</v>
      </c>
      <c r="FB19" s="25">
        <v>0</v>
      </c>
      <c r="FC19" s="25">
        <v>0</v>
      </c>
      <c r="FD19" s="25">
        <v>15</v>
      </c>
      <c r="FE19" s="25">
        <v>14</v>
      </c>
      <c r="FF19" s="25">
        <v>0</v>
      </c>
      <c r="FG19" s="25">
        <v>0</v>
      </c>
      <c r="FH19" s="25">
        <v>0</v>
      </c>
      <c r="FI19" s="25">
        <v>0</v>
      </c>
      <c r="FJ19" s="25">
        <v>2</v>
      </c>
      <c r="FK19" s="25">
        <v>2</v>
      </c>
      <c r="FL19" s="25">
        <v>0</v>
      </c>
      <c r="FM19" s="25">
        <v>4</v>
      </c>
      <c r="FN19" s="25">
        <v>3</v>
      </c>
      <c r="FO19" s="25">
        <v>0</v>
      </c>
      <c r="FP19" s="25">
        <v>0</v>
      </c>
      <c r="FQ19" s="25">
        <v>0</v>
      </c>
      <c r="FR19" s="25">
        <v>0</v>
      </c>
      <c r="FS19" s="25">
        <v>49</v>
      </c>
      <c r="FT19" s="25">
        <v>42</v>
      </c>
      <c r="FU19" s="25">
        <v>0</v>
      </c>
      <c r="FV19" s="25">
        <v>96</v>
      </c>
      <c r="FW19" s="25">
        <v>85</v>
      </c>
      <c r="FX19" s="25">
        <v>5</v>
      </c>
      <c r="FY19" s="25">
        <v>133</v>
      </c>
      <c r="FZ19" s="25">
        <v>100</v>
      </c>
      <c r="GA19" s="25">
        <v>1</v>
      </c>
      <c r="GB19" s="25">
        <v>556</v>
      </c>
      <c r="GC19" s="25">
        <v>466</v>
      </c>
      <c r="GD19" s="25">
        <v>13</v>
      </c>
      <c r="GE19" s="25">
        <v>1430</v>
      </c>
      <c r="GF19" s="25">
        <v>1208</v>
      </c>
      <c r="GG19" s="25">
        <v>33</v>
      </c>
      <c r="GH19" s="25">
        <f t="shared" si="0"/>
        <v>2285</v>
      </c>
      <c r="GI19" s="25">
        <f t="shared" si="1"/>
        <v>1920</v>
      </c>
      <c r="GJ19" s="25">
        <v>443</v>
      </c>
      <c r="GK19" s="25">
        <v>290</v>
      </c>
      <c r="GL19" s="25">
        <v>3</v>
      </c>
      <c r="GM19" s="25">
        <v>64</v>
      </c>
      <c r="GN19" s="25">
        <v>53</v>
      </c>
      <c r="GO19" s="25">
        <v>0</v>
      </c>
      <c r="GP19" s="25">
        <v>9</v>
      </c>
      <c r="GQ19" s="25">
        <v>8</v>
      </c>
      <c r="GR19" s="25">
        <v>0</v>
      </c>
      <c r="GS19" s="25">
        <v>9</v>
      </c>
      <c r="GT19" s="25">
        <v>7</v>
      </c>
      <c r="GU19" s="25">
        <v>2</v>
      </c>
      <c r="GV19" s="25">
        <v>1</v>
      </c>
      <c r="GW19" s="25">
        <v>1</v>
      </c>
      <c r="GX19" s="25">
        <v>0</v>
      </c>
      <c r="GY19" s="25">
        <v>1</v>
      </c>
      <c r="GZ19" s="25">
        <v>1</v>
      </c>
      <c r="HA19" s="25">
        <v>0</v>
      </c>
      <c r="HB19" s="25">
        <v>2</v>
      </c>
      <c r="HC19" s="25">
        <v>2</v>
      </c>
      <c r="HD19" s="25">
        <v>0</v>
      </c>
      <c r="HE19" s="25">
        <v>0</v>
      </c>
      <c r="HF19" s="25">
        <v>0</v>
      </c>
      <c r="HG19" s="25">
        <v>0</v>
      </c>
      <c r="HH19" s="25">
        <v>2</v>
      </c>
      <c r="HI19" s="25">
        <v>2</v>
      </c>
      <c r="HJ19" s="25">
        <v>0</v>
      </c>
      <c r="HK19" s="25">
        <v>0</v>
      </c>
      <c r="HL19" s="25">
        <v>0</v>
      </c>
      <c r="HM19" s="25">
        <v>0</v>
      </c>
      <c r="HN19" s="25">
        <v>1</v>
      </c>
      <c r="HO19" s="25">
        <v>1</v>
      </c>
      <c r="HP19" s="25">
        <v>0</v>
      </c>
      <c r="HQ19" s="25">
        <v>0</v>
      </c>
      <c r="HR19" s="25">
        <v>0</v>
      </c>
      <c r="HS19" s="25">
        <v>0</v>
      </c>
      <c r="HT19" s="25">
        <f t="shared" si="4"/>
        <v>532</v>
      </c>
      <c r="HU19" s="25">
        <f t="shared" si="2"/>
        <v>365</v>
      </c>
      <c r="HV19" s="25">
        <v>0</v>
      </c>
      <c r="HW19" s="25">
        <v>0</v>
      </c>
      <c r="HX19" s="25">
        <v>0</v>
      </c>
      <c r="HY19" s="25">
        <v>0</v>
      </c>
      <c r="HZ19" s="25">
        <v>0</v>
      </c>
      <c r="IA19" s="25">
        <v>0</v>
      </c>
      <c r="IB19" s="25">
        <v>0</v>
      </c>
      <c r="IC19" s="25">
        <v>0</v>
      </c>
      <c r="ID19" s="25">
        <v>0</v>
      </c>
      <c r="IE19" s="25">
        <v>0</v>
      </c>
      <c r="IF19" s="25">
        <v>0</v>
      </c>
      <c r="IG19" s="25">
        <v>0</v>
      </c>
      <c r="IH19" s="25">
        <v>0</v>
      </c>
      <c r="II19" s="25">
        <v>0</v>
      </c>
      <c r="IJ19" s="25">
        <v>0</v>
      </c>
      <c r="IK19" s="25">
        <v>7</v>
      </c>
      <c r="IL19" s="25">
        <v>6</v>
      </c>
      <c r="IM19" s="25">
        <v>0</v>
      </c>
      <c r="IN19" s="25">
        <v>0</v>
      </c>
      <c r="IO19" s="25">
        <v>0</v>
      </c>
      <c r="IP19" s="25">
        <v>0</v>
      </c>
      <c r="IQ19" s="25">
        <v>0</v>
      </c>
      <c r="IR19" s="25">
        <v>0</v>
      </c>
      <c r="IS19" s="25">
        <v>0</v>
      </c>
      <c r="IT19" s="25">
        <v>1</v>
      </c>
      <c r="IU19" s="25">
        <v>1</v>
      </c>
      <c r="IV19" s="25">
        <v>0</v>
      </c>
      <c r="IW19" s="25">
        <v>7</v>
      </c>
      <c r="IX19" s="25">
        <v>6</v>
      </c>
      <c r="IY19" s="25">
        <v>0</v>
      </c>
      <c r="IZ19" s="25">
        <v>1</v>
      </c>
      <c r="JA19" s="25">
        <v>1</v>
      </c>
      <c r="JB19" s="25">
        <v>0</v>
      </c>
      <c r="JC19" s="25">
        <v>9</v>
      </c>
      <c r="JD19" s="25">
        <v>6</v>
      </c>
      <c r="JE19" s="25">
        <v>0</v>
      </c>
      <c r="JF19" s="25">
        <f t="shared" si="5"/>
        <v>25</v>
      </c>
      <c r="JG19" s="25">
        <f t="shared" si="6"/>
        <v>19</v>
      </c>
      <c r="JH19" s="25">
        <v>15</v>
      </c>
      <c r="JI19" s="25">
        <v>14</v>
      </c>
      <c r="JJ19" s="25">
        <v>0</v>
      </c>
      <c r="JK19" s="25">
        <v>15</v>
      </c>
      <c r="JL19" s="25">
        <v>15</v>
      </c>
      <c r="JM19" s="25">
        <v>0</v>
      </c>
      <c r="JN19" s="25">
        <v>8</v>
      </c>
      <c r="JO19" s="25">
        <v>8</v>
      </c>
      <c r="JP19" s="25">
        <v>0</v>
      </c>
      <c r="JQ19" s="25">
        <v>7</v>
      </c>
      <c r="JR19" s="25">
        <v>5</v>
      </c>
      <c r="JS19" s="25">
        <v>0</v>
      </c>
      <c r="JT19" s="25">
        <v>2</v>
      </c>
      <c r="JU19" s="25">
        <v>2</v>
      </c>
      <c r="JV19" s="25">
        <v>0</v>
      </c>
      <c r="JW19" s="25">
        <v>0</v>
      </c>
      <c r="JX19" s="25">
        <v>0</v>
      </c>
      <c r="JY19" s="25">
        <v>0</v>
      </c>
      <c r="JZ19" s="25">
        <v>1</v>
      </c>
      <c r="KA19" s="25">
        <v>1</v>
      </c>
      <c r="KB19" s="25">
        <v>0</v>
      </c>
      <c r="KC19" s="26">
        <f t="shared" si="7"/>
        <v>48</v>
      </c>
      <c r="KD19" s="26">
        <f t="shared" si="8"/>
        <v>45</v>
      </c>
    </row>
    <row r="20" spans="1:290" x14ac:dyDescent="0.3">
      <c r="A20" s="33" t="s">
        <v>19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>
        <f t="shared" si="9"/>
        <v>0</v>
      </c>
      <c r="AM20" s="25">
        <f t="shared" si="10"/>
        <v>0</v>
      </c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AZ20" s="25"/>
      <c r="BA20" s="25"/>
      <c r="BB20" s="25"/>
      <c r="BC20" s="25"/>
      <c r="BD20" s="25"/>
      <c r="BE20" s="25"/>
      <c r="BF20" s="25"/>
      <c r="BG20" s="25"/>
      <c r="BH20" s="25"/>
      <c r="BI20" s="25"/>
      <c r="BJ20" s="25"/>
      <c r="BK20" s="25"/>
      <c r="BL20" s="25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>
        <f t="shared" si="11"/>
        <v>0</v>
      </c>
      <c r="BY20" s="25">
        <f t="shared" si="3"/>
        <v>0</v>
      </c>
      <c r="BZ20" s="25"/>
      <c r="CA20" s="25"/>
      <c r="CB20" s="25"/>
      <c r="CC20" s="25"/>
      <c r="CD20" s="25"/>
      <c r="CE20" s="25"/>
      <c r="CF20" s="25"/>
      <c r="CG20" s="25"/>
      <c r="CH20" s="25"/>
      <c r="CI20" s="25"/>
      <c r="CJ20" s="25"/>
      <c r="CK20" s="25"/>
      <c r="CL20" s="25"/>
      <c r="CM20" s="25"/>
      <c r="CN20" s="25"/>
      <c r="CO20" s="25"/>
      <c r="CP20" s="25"/>
      <c r="CQ20" s="25"/>
      <c r="CR20" s="25"/>
      <c r="CS20" s="25"/>
      <c r="CT20" s="25"/>
      <c r="CU20" s="25"/>
      <c r="CV20" s="25"/>
      <c r="CW20" s="25"/>
      <c r="CX20" s="25"/>
      <c r="CY20" s="25"/>
      <c r="CZ20" s="25"/>
      <c r="DA20" s="25"/>
      <c r="DB20" s="25"/>
      <c r="DC20" s="25"/>
      <c r="DD20" s="25"/>
      <c r="DE20" s="25"/>
      <c r="DF20" s="25"/>
      <c r="DG20" s="25"/>
      <c r="DH20" s="25"/>
      <c r="DI20" s="25"/>
      <c r="DJ20" s="25">
        <f t="shared" si="12"/>
        <v>0</v>
      </c>
      <c r="DK20" s="25">
        <f t="shared" si="13"/>
        <v>0</v>
      </c>
      <c r="DL20" s="25"/>
      <c r="DM20" s="25"/>
      <c r="DN20" s="25"/>
      <c r="DO20" s="25"/>
      <c r="DP20" s="25"/>
      <c r="DQ20" s="25"/>
      <c r="DR20" s="25"/>
      <c r="DS20" s="25"/>
      <c r="DT20" s="25"/>
      <c r="DU20" s="25"/>
      <c r="DV20" s="25"/>
      <c r="DW20" s="25"/>
      <c r="DX20" s="25"/>
      <c r="DY20" s="25"/>
      <c r="DZ20" s="25"/>
      <c r="EA20" s="25"/>
      <c r="EB20" s="25"/>
      <c r="EC20" s="25"/>
      <c r="ED20" s="25"/>
      <c r="EE20" s="25"/>
      <c r="EF20" s="25"/>
      <c r="EG20" s="25"/>
      <c r="EH20" s="25"/>
      <c r="EI20" s="25"/>
      <c r="EJ20" s="25"/>
      <c r="EK20" s="25"/>
      <c r="EL20" s="25"/>
      <c r="EM20" s="25"/>
      <c r="EN20" s="25"/>
      <c r="EO20" s="25"/>
      <c r="EP20" s="25"/>
      <c r="EQ20" s="25"/>
      <c r="ER20" s="25"/>
      <c r="ES20" s="25"/>
      <c r="ET20" s="25"/>
      <c r="EU20" s="25"/>
      <c r="EV20" s="25">
        <f t="shared" si="14"/>
        <v>0</v>
      </c>
      <c r="EW20" s="25">
        <f t="shared" si="15"/>
        <v>0</v>
      </c>
      <c r="EX20" s="25">
        <v>0</v>
      </c>
      <c r="EY20" s="25">
        <v>0</v>
      </c>
      <c r="EZ20" s="25">
        <v>0</v>
      </c>
      <c r="FA20" s="25">
        <v>0</v>
      </c>
      <c r="FB20" s="25">
        <v>0</v>
      </c>
      <c r="FC20" s="25">
        <v>0</v>
      </c>
      <c r="FD20" s="25">
        <v>0</v>
      </c>
      <c r="FE20" s="25">
        <v>0</v>
      </c>
      <c r="FF20" s="25">
        <v>0</v>
      </c>
      <c r="FG20" s="25">
        <v>0</v>
      </c>
      <c r="FH20" s="25">
        <v>0</v>
      </c>
      <c r="FI20" s="25">
        <v>0</v>
      </c>
      <c r="FJ20" s="25">
        <v>1</v>
      </c>
      <c r="FK20" s="25">
        <v>1</v>
      </c>
      <c r="FL20" s="25">
        <v>0</v>
      </c>
      <c r="FM20" s="25">
        <v>4</v>
      </c>
      <c r="FN20" s="25">
        <v>4</v>
      </c>
      <c r="FO20" s="25">
        <v>0</v>
      </c>
      <c r="FP20" s="25">
        <v>4</v>
      </c>
      <c r="FQ20" s="25">
        <v>4</v>
      </c>
      <c r="FR20" s="25">
        <v>0</v>
      </c>
      <c r="FS20" s="25">
        <v>2</v>
      </c>
      <c r="FT20" s="25">
        <v>2</v>
      </c>
      <c r="FU20" s="25">
        <v>0</v>
      </c>
      <c r="FV20" s="25">
        <v>3</v>
      </c>
      <c r="FW20" s="25">
        <v>3</v>
      </c>
      <c r="FX20" s="25">
        <v>0</v>
      </c>
      <c r="FY20" s="25">
        <v>3</v>
      </c>
      <c r="FZ20" s="25">
        <v>3</v>
      </c>
      <c r="GA20" s="25">
        <v>0</v>
      </c>
      <c r="GB20" s="25">
        <v>93</v>
      </c>
      <c r="GC20" s="25">
        <v>80</v>
      </c>
      <c r="GD20" s="25">
        <v>4</v>
      </c>
      <c r="GE20" s="25">
        <v>61</v>
      </c>
      <c r="GF20" s="25">
        <v>51</v>
      </c>
      <c r="GG20" s="25">
        <v>4</v>
      </c>
      <c r="GH20" s="25">
        <f t="shared" si="0"/>
        <v>171</v>
      </c>
      <c r="GI20" s="25">
        <f t="shared" si="1"/>
        <v>148</v>
      </c>
      <c r="GJ20" s="25">
        <v>116</v>
      </c>
      <c r="GK20" s="25">
        <v>48</v>
      </c>
      <c r="GL20" s="25">
        <v>0</v>
      </c>
      <c r="GM20" s="25">
        <v>22</v>
      </c>
      <c r="GN20" s="25">
        <v>19</v>
      </c>
      <c r="GO20" s="25">
        <v>0</v>
      </c>
      <c r="GP20" s="25">
        <v>17</v>
      </c>
      <c r="GQ20" s="25">
        <v>16</v>
      </c>
      <c r="GR20" s="25">
        <v>0</v>
      </c>
      <c r="GS20" s="25">
        <v>13</v>
      </c>
      <c r="GT20" s="25">
        <v>9</v>
      </c>
      <c r="GU20" s="25">
        <v>0</v>
      </c>
      <c r="GV20" s="25">
        <v>7</v>
      </c>
      <c r="GW20" s="25">
        <v>6</v>
      </c>
      <c r="GX20" s="25">
        <v>0</v>
      </c>
      <c r="GY20" s="25">
        <v>2</v>
      </c>
      <c r="GZ20" s="25">
        <v>2</v>
      </c>
      <c r="HA20" s="25">
        <v>0</v>
      </c>
      <c r="HB20" s="25">
        <v>0</v>
      </c>
      <c r="HC20" s="25">
        <v>0</v>
      </c>
      <c r="HD20" s="25">
        <v>0</v>
      </c>
      <c r="HE20" s="25">
        <v>0</v>
      </c>
      <c r="HF20" s="25">
        <v>0</v>
      </c>
      <c r="HG20" s="25">
        <v>0</v>
      </c>
      <c r="HH20" s="25">
        <v>0</v>
      </c>
      <c r="HI20" s="25">
        <v>0</v>
      </c>
      <c r="HJ20" s="25">
        <v>0</v>
      </c>
      <c r="HK20" s="25">
        <v>0</v>
      </c>
      <c r="HL20" s="25">
        <v>0</v>
      </c>
      <c r="HM20" s="25">
        <v>0</v>
      </c>
      <c r="HN20" s="25">
        <v>0</v>
      </c>
      <c r="HO20" s="25">
        <v>0</v>
      </c>
      <c r="HP20" s="25">
        <v>0</v>
      </c>
      <c r="HQ20" s="25">
        <v>0</v>
      </c>
      <c r="HR20" s="25">
        <v>0</v>
      </c>
      <c r="HS20" s="25">
        <v>0</v>
      </c>
      <c r="HT20" s="25">
        <f t="shared" si="4"/>
        <v>177</v>
      </c>
      <c r="HU20" s="25">
        <f t="shared" si="2"/>
        <v>100</v>
      </c>
      <c r="HV20" s="25">
        <v>0</v>
      </c>
      <c r="HW20" s="25">
        <v>0</v>
      </c>
      <c r="HX20" s="25">
        <v>0</v>
      </c>
      <c r="HY20" s="25">
        <v>0</v>
      </c>
      <c r="HZ20" s="25">
        <v>0</v>
      </c>
      <c r="IA20" s="25">
        <v>0</v>
      </c>
      <c r="IB20" s="25">
        <v>0</v>
      </c>
      <c r="IC20" s="25">
        <v>0</v>
      </c>
      <c r="ID20" s="25">
        <v>0</v>
      </c>
      <c r="IE20" s="25">
        <v>0</v>
      </c>
      <c r="IF20" s="25">
        <v>0</v>
      </c>
      <c r="IG20" s="25">
        <v>0</v>
      </c>
      <c r="IH20" s="25">
        <v>3</v>
      </c>
      <c r="II20" s="25">
        <v>3</v>
      </c>
      <c r="IJ20" s="25">
        <v>0</v>
      </c>
      <c r="IK20" s="25">
        <v>9</v>
      </c>
      <c r="IL20" s="25">
        <v>9</v>
      </c>
      <c r="IM20" s="25">
        <v>0</v>
      </c>
      <c r="IN20" s="25">
        <v>4</v>
      </c>
      <c r="IO20" s="25">
        <v>4</v>
      </c>
      <c r="IP20" s="25">
        <v>0</v>
      </c>
      <c r="IQ20" s="25">
        <v>2</v>
      </c>
      <c r="IR20" s="25">
        <v>2</v>
      </c>
      <c r="IS20" s="25">
        <v>0</v>
      </c>
      <c r="IT20" s="25">
        <v>2</v>
      </c>
      <c r="IU20" s="25">
        <v>2</v>
      </c>
      <c r="IV20" s="25">
        <v>0</v>
      </c>
      <c r="IW20" s="25">
        <v>0</v>
      </c>
      <c r="IX20" s="25">
        <v>0</v>
      </c>
      <c r="IY20" s="25">
        <v>0</v>
      </c>
      <c r="IZ20" s="25">
        <v>0</v>
      </c>
      <c r="JA20" s="25">
        <v>0</v>
      </c>
      <c r="JB20" s="25">
        <v>0</v>
      </c>
      <c r="JC20" s="25">
        <v>0</v>
      </c>
      <c r="JD20" s="25">
        <v>0</v>
      </c>
      <c r="JE20" s="25">
        <v>0</v>
      </c>
      <c r="JF20" s="25">
        <f t="shared" si="5"/>
        <v>20</v>
      </c>
      <c r="JG20" s="25">
        <f t="shared" si="6"/>
        <v>20</v>
      </c>
      <c r="JH20" s="25">
        <v>17</v>
      </c>
      <c r="JI20" s="25">
        <v>14</v>
      </c>
      <c r="JJ20" s="25">
        <v>1</v>
      </c>
      <c r="JK20" s="25">
        <v>36</v>
      </c>
      <c r="JL20" s="25">
        <v>34</v>
      </c>
      <c r="JM20" s="25">
        <v>0</v>
      </c>
      <c r="JN20" s="25">
        <v>22</v>
      </c>
      <c r="JO20" s="25">
        <v>22</v>
      </c>
      <c r="JP20" s="25">
        <v>0</v>
      </c>
      <c r="JQ20" s="25">
        <v>10</v>
      </c>
      <c r="JR20" s="25">
        <v>9</v>
      </c>
      <c r="JS20" s="25">
        <v>0</v>
      </c>
      <c r="JT20" s="25">
        <v>9</v>
      </c>
      <c r="JU20" s="25">
        <v>8</v>
      </c>
      <c r="JV20" s="25">
        <v>0</v>
      </c>
      <c r="JW20" s="25">
        <v>0</v>
      </c>
      <c r="JX20" s="25">
        <v>0</v>
      </c>
      <c r="JY20" s="25">
        <v>0</v>
      </c>
      <c r="JZ20" s="25">
        <v>0</v>
      </c>
      <c r="KA20" s="25">
        <v>0</v>
      </c>
      <c r="KB20" s="25">
        <v>0</v>
      </c>
      <c r="KC20" s="26">
        <f t="shared" si="7"/>
        <v>94</v>
      </c>
      <c r="KD20" s="26">
        <f t="shared" si="8"/>
        <v>87</v>
      </c>
    </row>
    <row r="21" spans="1:290" x14ac:dyDescent="0.3">
      <c r="A21" s="33" t="s">
        <v>14</v>
      </c>
      <c r="B21" s="25">
        <v>22</v>
      </c>
      <c r="C21" s="25">
        <v>19</v>
      </c>
      <c r="D21" s="25">
        <v>0</v>
      </c>
      <c r="E21" s="25">
        <v>26</v>
      </c>
      <c r="F21" s="25">
        <v>14</v>
      </c>
      <c r="G21" s="25">
        <v>1</v>
      </c>
      <c r="H21" s="25">
        <v>71</v>
      </c>
      <c r="I21" s="25">
        <v>53</v>
      </c>
      <c r="J21" s="25">
        <v>1</v>
      </c>
      <c r="K21" s="25">
        <v>102</v>
      </c>
      <c r="L21" s="25">
        <v>82</v>
      </c>
      <c r="M21" s="25">
        <v>3</v>
      </c>
      <c r="N21" s="25">
        <v>158</v>
      </c>
      <c r="O21" s="25">
        <v>99</v>
      </c>
      <c r="P21" s="25">
        <v>3</v>
      </c>
      <c r="Q21" s="25">
        <v>141</v>
      </c>
      <c r="R21" s="25">
        <v>80</v>
      </c>
      <c r="S21" s="25">
        <v>6</v>
      </c>
      <c r="T21" s="25">
        <v>72</v>
      </c>
      <c r="U21" s="25">
        <v>51</v>
      </c>
      <c r="V21" s="25">
        <v>0</v>
      </c>
      <c r="W21" s="25">
        <v>5</v>
      </c>
      <c r="X21" s="25">
        <v>2</v>
      </c>
      <c r="Y21" s="25">
        <v>0</v>
      </c>
      <c r="Z21" s="25">
        <v>0</v>
      </c>
      <c r="AA21" s="25">
        <v>0</v>
      </c>
      <c r="AB21" s="25">
        <v>0</v>
      </c>
      <c r="AC21" s="25">
        <v>9</v>
      </c>
      <c r="AD21" s="25">
        <v>8</v>
      </c>
      <c r="AE21" s="25">
        <v>0</v>
      </c>
      <c r="AF21" s="25">
        <v>42</v>
      </c>
      <c r="AG21" s="25">
        <v>29</v>
      </c>
      <c r="AH21" s="25">
        <v>0</v>
      </c>
      <c r="AI21" s="25">
        <v>156</v>
      </c>
      <c r="AJ21" s="25">
        <v>114</v>
      </c>
      <c r="AK21" s="25">
        <v>1</v>
      </c>
      <c r="AL21" s="25">
        <f t="shared" si="9"/>
        <v>804</v>
      </c>
      <c r="AM21" s="25">
        <f t="shared" si="10"/>
        <v>551</v>
      </c>
      <c r="AN21" s="25">
        <v>64</v>
      </c>
      <c r="AO21" s="25">
        <v>51</v>
      </c>
      <c r="AP21" s="25">
        <v>0</v>
      </c>
      <c r="AQ21" s="25">
        <v>2</v>
      </c>
      <c r="AR21" s="25">
        <v>1</v>
      </c>
      <c r="AS21" s="25">
        <v>0</v>
      </c>
      <c r="AT21" s="25">
        <v>3</v>
      </c>
      <c r="AU21" s="25">
        <v>3</v>
      </c>
      <c r="AV21" s="25">
        <v>0</v>
      </c>
      <c r="AW21" s="25">
        <v>5</v>
      </c>
      <c r="AX21" s="25">
        <v>5</v>
      </c>
      <c r="AY21" s="25">
        <v>0</v>
      </c>
      <c r="AZ21" s="25">
        <v>12</v>
      </c>
      <c r="BA21" s="25">
        <v>11</v>
      </c>
      <c r="BB21" s="25">
        <v>0</v>
      </c>
      <c r="BC21" s="25">
        <v>0</v>
      </c>
      <c r="BD21" s="25">
        <v>0</v>
      </c>
      <c r="BE21" s="25">
        <v>0</v>
      </c>
      <c r="BF21" s="25">
        <v>0</v>
      </c>
      <c r="BG21" s="25">
        <v>0</v>
      </c>
      <c r="BH21" s="25">
        <v>0</v>
      </c>
      <c r="BI21" s="25">
        <v>0</v>
      </c>
      <c r="BJ21" s="25">
        <v>0</v>
      </c>
      <c r="BK21" s="25">
        <v>0</v>
      </c>
      <c r="BL21" s="25">
        <v>0</v>
      </c>
      <c r="BM21" s="25">
        <v>0</v>
      </c>
      <c r="BN21" s="25">
        <v>0</v>
      </c>
      <c r="BO21" s="25">
        <v>0</v>
      </c>
      <c r="BP21" s="25">
        <v>0</v>
      </c>
      <c r="BQ21" s="25">
        <v>0</v>
      </c>
      <c r="BR21" s="25">
        <v>0</v>
      </c>
      <c r="BS21" s="25">
        <v>0</v>
      </c>
      <c r="BT21" s="25">
        <v>0</v>
      </c>
      <c r="BU21" s="25">
        <v>0</v>
      </c>
      <c r="BV21" s="25">
        <v>0</v>
      </c>
      <c r="BW21" s="25">
        <v>0</v>
      </c>
      <c r="BX21" s="25">
        <f t="shared" si="11"/>
        <v>86</v>
      </c>
      <c r="BY21" s="25">
        <f t="shared" si="3"/>
        <v>71</v>
      </c>
      <c r="BZ21" s="25">
        <v>0</v>
      </c>
      <c r="CA21" s="25">
        <v>0</v>
      </c>
      <c r="CB21" s="25">
        <v>0</v>
      </c>
      <c r="CC21" s="25">
        <v>0</v>
      </c>
      <c r="CD21" s="25">
        <v>0</v>
      </c>
      <c r="CE21" s="25">
        <v>0</v>
      </c>
      <c r="CF21" s="25">
        <v>0</v>
      </c>
      <c r="CG21" s="25">
        <v>0</v>
      </c>
      <c r="CH21" s="25">
        <v>0</v>
      </c>
      <c r="CI21" s="25">
        <v>0</v>
      </c>
      <c r="CJ21" s="25">
        <v>0</v>
      </c>
      <c r="CK21" s="25">
        <v>0</v>
      </c>
      <c r="CL21" s="25">
        <v>0</v>
      </c>
      <c r="CM21" s="25">
        <v>0</v>
      </c>
      <c r="CN21" s="25">
        <v>0</v>
      </c>
      <c r="CO21" s="25">
        <v>0</v>
      </c>
      <c r="CP21" s="25">
        <v>0</v>
      </c>
      <c r="CQ21" s="25">
        <v>0</v>
      </c>
      <c r="CR21" s="25">
        <v>0</v>
      </c>
      <c r="CS21" s="25">
        <v>0</v>
      </c>
      <c r="CT21" s="25">
        <v>0</v>
      </c>
      <c r="CU21" s="25">
        <v>0</v>
      </c>
      <c r="CV21" s="25">
        <v>0</v>
      </c>
      <c r="CW21" s="25">
        <v>0</v>
      </c>
      <c r="CX21" s="25">
        <v>0</v>
      </c>
      <c r="CY21" s="25">
        <v>0</v>
      </c>
      <c r="CZ21" s="25">
        <v>0</v>
      </c>
      <c r="DA21" s="25">
        <v>0</v>
      </c>
      <c r="DB21" s="25">
        <v>0</v>
      </c>
      <c r="DC21" s="25">
        <v>0</v>
      </c>
      <c r="DD21" s="25">
        <v>0</v>
      </c>
      <c r="DE21" s="25">
        <v>0</v>
      </c>
      <c r="DF21" s="25">
        <v>0</v>
      </c>
      <c r="DG21" s="25">
        <v>0</v>
      </c>
      <c r="DH21" s="25">
        <v>0</v>
      </c>
      <c r="DI21" s="25">
        <v>0</v>
      </c>
      <c r="DJ21" s="25">
        <f t="shared" si="12"/>
        <v>0</v>
      </c>
      <c r="DK21" s="25">
        <f t="shared" si="13"/>
        <v>0</v>
      </c>
      <c r="DL21" s="25">
        <v>0</v>
      </c>
      <c r="DM21" s="25">
        <v>0</v>
      </c>
      <c r="DN21" s="25">
        <v>0</v>
      </c>
      <c r="DO21" s="25">
        <v>0</v>
      </c>
      <c r="DP21" s="25">
        <v>0</v>
      </c>
      <c r="DQ21" s="25">
        <v>0</v>
      </c>
      <c r="DR21" s="25">
        <v>0</v>
      </c>
      <c r="DS21" s="25">
        <v>0</v>
      </c>
      <c r="DT21" s="25">
        <v>0</v>
      </c>
      <c r="DU21" s="25">
        <v>0</v>
      </c>
      <c r="DV21" s="25">
        <v>0</v>
      </c>
      <c r="DW21" s="25">
        <v>0</v>
      </c>
      <c r="DX21" s="25">
        <v>0</v>
      </c>
      <c r="DY21" s="25">
        <v>0</v>
      </c>
      <c r="DZ21" s="25">
        <v>0</v>
      </c>
      <c r="EA21" s="25">
        <v>0</v>
      </c>
      <c r="EB21" s="25">
        <v>0</v>
      </c>
      <c r="EC21" s="25">
        <v>0</v>
      </c>
      <c r="ED21" s="25">
        <v>0</v>
      </c>
      <c r="EE21" s="25">
        <v>0</v>
      </c>
      <c r="EF21" s="25">
        <v>0</v>
      </c>
      <c r="EG21" s="25">
        <v>0</v>
      </c>
      <c r="EH21" s="25">
        <v>0</v>
      </c>
      <c r="EI21" s="25">
        <v>0</v>
      </c>
      <c r="EJ21" s="25">
        <v>0</v>
      </c>
      <c r="EK21" s="25">
        <v>0</v>
      </c>
      <c r="EL21" s="25">
        <v>0</v>
      </c>
      <c r="EM21" s="25">
        <v>0</v>
      </c>
      <c r="EN21" s="25">
        <v>0</v>
      </c>
      <c r="EO21" s="25">
        <v>0</v>
      </c>
      <c r="EP21" s="25">
        <v>0</v>
      </c>
      <c r="EQ21" s="25">
        <v>0</v>
      </c>
      <c r="ER21" s="25">
        <v>0</v>
      </c>
      <c r="ES21" s="25">
        <v>0</v>
      </c>
      <c r="ET21" s="25">
        <v>0</v>
      </c>
      <c r="EU21" s="25">
        <v>0</v>
      </c>
      <c r="EV21" s="25">
        <f t="shared" si="14"/>
        <v>0</v>
      </c>
      <c r="EW21" s="25">
        <f t="shared" si="15"/>
        <v>0</v>
      </c>
      <c r="EX21" s="25">
        <v>0</v>
      </c>
      <c r="EY21" s="25">
        <v>0</v>
      </c>
      <c r="EZ21" s="25">
        <v>0</v>
      </c>
      <c r="FA21" s="25">
        <v>0</v>
      </c>
      <c r="FB21" s="25">
        <v>0</v>
      </c>
      <c r="FC21" s="25">
        <v>0</v>
      </c>
      <c r="FD21" s="25">
        <v>73</v>
      </c>
      <c r="FE21" s="25">
        <v>67</v>
      </c>
      <c r="FF21" s="25">
        <v>0</v>
      </c>
      <c r="FG21" s="25">
        <v>116</v>
      </c>
      <c r="FH21" s="25">
        <v>93</v>
      </c>
      <c r="FI21" s="25">
        <v>1</v>
      </c>
      <c r="FJ21" s="25">
        <v>342</v>
      </c>
      <c r="FK21" s="25">
        <v>267</v>
      </c>
      <c r="FL21" s="25">
        <v>2</v>
      </c>
      <c r="FM21" s="25">
        <v>329</v>
      </c>
      <c r="FN21" s="25">
        <v>313</v>
      </c>
      <c r="FO21" s="25">
        <v>11</v>
      </c>
      <c r="FP21" s="25">
        <v>237</v>
      </c>
      <c r="FQ21" s="25">
        <v>224</v>
      </c>
      <c r="FR21" s="25">
        <v>1</v>
      </c>
      <c r="FS21" s="25">
        <v>128</v>
      </c>
      <c r="FT21" s="25">
        <v>108</v>
      </c>
      <c r="FU21" s="25">
        <v>0</v>
      </c>
      <c r="FV21" s="25">
        <v>319</v>
      </c>
      <c r="FW21" s="25">
        <v>237</v>
      </c>
      <c r="FX21" s="25">
        <v>16</v>
      </c>
      <c r="FY21" s="25">
        <v>515</v>
      </c>
      <c r="FZ21" s="25">
        <v>382</v>
      </c>
      <c r="GA21" s="25">
        <v>7</v>
      </c>
      <c r="GB21" s="25">
        <v>908</v>
      </c>
      <c r="GC21" s="25">
        <v>613</v>
      </c>
      <c r="GD21" s="25">
        <v>18</v>
      </c>
      <c r="GE21" s="25">
        <v>1054</v>
      </c>
      <c r="GF21" s="25">
        <v>773</v>
      </c>
      <c r="GG21" s="25">
        <v>20</v>
      </c>
      <c r="GH21" s="25">
        <f t="shared" si="0"/>
        <v>4021</v>
      </c>
      <c r="GI21" s="25">
        <f t="shared" si="1"/>
        <v>3077</v>
      </c>
      <c r="GJ21" s="25">
        <v>3304</v>
      </c>
      <c r="GK21" s="25">
        <v>562</v>
      </c>
      <c r="GL21" s="25">
        <v>9</v>
      </c>
      <c r="GM21" s="25">
        <v>1068</v>
      </c>
      <c r="GN21" s="25">
        <v>624</v>
      </c>
      <c r="GO21" s="25">
        <v>87</v>
      </c>
      <c r="GP21" s="25">
        <v>635</v>
      </c>
      <c r="GQ21" s="25">
        <v>382</v>
      </c>
      <c r="GR21" s="25">
        <v>17</v>
      </c>
      <c r="GS21" s="25">
        <v>391</v>
      </c>
      <c r="GT21" s="25">
        <v>257</v>
      </c>
      <c r="GU21" s="25">
        <v>20</v>
      </c>
      <c r="GV21" s="25">
        <v>164</v>
      </c>
      <c r="GW21" s="25">
        <v>123</v>
      </c>
      <c r="GX21" s="25">
        <v>7</v>
      </c>
      <c r="GY21" s="25">
        <v>74</v>
      </c>
      <c r="GZ21" s="25">
        <v>49</v>
      </c>
      <c r="HA21" s="25">
        <v>6</v>
      </c>
      <c r="HB21" s="25">
        <v>52</v>
      </c>
      <c r="HC21" s="25">
        <v>43</v>
      </c>
      <c r="HD21" s="25">
        <v>1</v>
      </c>
      <c r="HE21" s="25">
        <v>6</v>
      </c>
      <c r="HF21" s="25">
        <v>1</v>
      </c>
      <c r="HG21" s="25">
        <v>0</v>
      </c>
      <c r="HH21" s="25">
        <v>1</v>
      </c>
      <c r="HI21" s="25">
        <v>1</v>
      </c>
      <c r="HJ21" s="25">
        <v>0</v>
      </c>
      <c r="HK21" s="25">
        <v>4</v>
      </c>
      <c r="HL21" s="25">
        <v>1</v>
      </c>
      <c r="HM21" s="25">
        <v>0</v>
      </c>
      <c r="HN21" s="25">
        <v>3</v>
      </c>
      <c r="HO21" s="25">
        <v>3</v>
      </c>
      <c r="HP21" s="25">
        <v>0</v>
      </c>
      <c r="HQ21" s="25">
        <v>0</v>
      </c>
      <c r="HR21" s="25">
        <v>0</v>
      </c>
      <c r="HS21" s="25">
        <v>0</v>
      </c>
      <c r="HT21" s="25">
        <f t="shared" si="4"/>
        <v>5702</v>
      </c>
      <c r="HU21" s="25">
        <f t="shared" si="2"/>
        <v>2046</v>
      </c>
      <c r="HV21" s="25">
        <v>6</v>
      </c>
      <c r="HW21" s="25">
        <v>5</v>
      </c>
      <c r="HX21" s="25">
        <v>1</v>
      </c>
      <c r="HY21" s="25">
        <v>20</v>
      </c>
      <c r="HZ21" s="25">
        <v>19</v>
      </c>
      <c r="IA21" s="25">
        <v>0</v>
      </c>
      <c r="IB21" s="25">
        <v>43</v>
      </c>
      <c r="IC21" s="25">
        <v>36</v>
      </c>
      <c r="ID21" s="25">
        <v>1</v>
      </c>
      <c r="IE21" s="25">
        <v>93</v>
      </c>
      <c r="IF21" s="25">
        <v>82</v>
      </c>
      <c r="IG21" s="25">
        <v>0</v>
      </c>
      <c r="IH21" s="25">
        <v>46</v>
      </c>
      <c r="II21" s="25">
        <v>38</v>
      </c>
      <c r="IJ21" s="25">
        <v>0</v>
      </c>
      <c r="IK21" s="25">
        <v>26</v>
      </c>
      <c r="IL21" s="25">
        <v>23</v>
      </c>
      <c r="IM21" s="25">
        <v>1</v>
      </c>
      <c r="IN21" s="25">
        <v>29</v>
      </c>
      <c r="IO21" s="25">
        <v>27</v>
      </c>
      <c r="IP21" s="25">
        <v>0</v>
      </c>
      <c r="IQ21" s="25">
        <v>7</v>
      </c>
      <c r="IR21" s="25">
        <v>5</v>
      </c>
      <c r="IS21" s="25">
        <v>0</v>
      </c>
      <c r="IT21" s="25">
        <v>8</v>
      </c>
      <c r="IU21" s="25">
        <v>5</v>
      </c>
      <c r="IV21" s="25">
        <v>1</v>
      </c>
      <c r="IW21" s="25">
        <v>10</v>
      </c>
      <c r="IX21" s="25">
        <v>10</v>
      </c>
      <c r="IY21" s="25">
        <v>0</v>
      </c>
      <c r="IZ21" s="25">
        <v>30</v>
      </c>
      <c r="JA21" s="25">
        <v>30</v>
      </c>
      <c r="JB21" s="25">
        <v>0</v>
      </c>
      <c r="JC21" s="25">
        <v>142</v>
      </c>
      <c r="JD21" s="25">
        <v>127</v>
      </c>
      <c r="JE21" s="25">
        <v>2</v>
      </c>
      <c r="JF21" s="25">
        <f t="shared" si="5"/>
        <v>460</v>
      </c>
      <c r="JG21" s="25">
        <f t="shared" si="6"/>
        <v>377</v>
      </c>
      <c r="JH21" s="25">
        <v>346</v>
      </c>
      <c r="JI21" s="25">
        <v>318</v>
      </c>
      <c r="JJ21" s="25">
        <v>2</v>
      </c>
      <c r="JK21" s="25">
        <v>260</v>
      </c>
      <c r="JL21" s="25">
        <v>254</v>
      </c>
      <c r="JM21" s="25">
        <v>0</v>
      </c>
      <c r="JN21" s="25">
        <v>121</v>
      </c>
      <c r="JO21" s="25">
        <v>105</v>
      </c>
      <c r="JP21" s="25">
        <v>2</v>
      </c>
      <c r="JQ21" s="25">
        <v>90</v>
      </c>
      <c r="JR21" s="25">
        <v>71</v>
      </c>
      <c r="JS21" s="25">
        <v>0</v>
      </c>
      <c r="JT21" s="25">
        <v>44</v>
      </c>
      <c r="JU21" s="25">
        <v>31</v>
      </c>
      <c r="JV21" s="25">
        <v>0</v>
      </c>
      <c r="JW21" s="25">
        <v>40</v>
      </c>
      <c r="JX21" s="25">
        <v>29</v>
      </c>
      <c r="JY21" s="25">
        <v>0</v>
      </c>
      <c r="JZ21" s="25">
        <v>16</v>
      </c>
      <c r="KA21" s="25">
        <v>11</v>
      </c>
      <c r="KB21" s="25">
        <v>0</v>
      </c>
      <c r="KC21" s="26">
        <f t="shared" si="7"/>
        <v>917</v>
      </c>
      <c r="KD21" s="26">
        <f t="shared" si="8"/>
        <v>819</v>
      </c>
    </row>
    <row r="22" spans="1:290" x14ac:dyDescent="0.3">
      <c r="A22" s="33" t="s">
        <v>15</v>
      </c>
      <c r="B22" s="25">
        <v>946</v>
      </c>
      <c r="C22" s="25">
        <v>670</v>
      </c>
      <c r="D22" s="25">
        <v>14</v>
      </c>
      <c r="E22" s="25">
        <v>686</v>
      </c>
      <c r="F22" s="25">
        <v>490</v>
      </c>
      <c r="G22" s="25">
        <v>11</v>
      </c>
      <c r="H22" s="25">
        <v>369</v>
      </c>
      <c r="I22" s="25">
        <v>291</v>
      </c>
      <c r="J22" s="25">
        <v>5</v>
      </c>
      <c r="K22" s="25">
        <v>313</v>
      </c>
      <c r="L22" s="25">
        <v>236</v>
      </c>
      <c r="M22" s="25">
        <v>5</v>
      </c>
      <c r="N22" s="25">
        <v>172</v>
      </c>
      <c r="O22" s="25">
        <v>100</v>
      </c>
      <c r="P22" s="25">
        <v>2</v>
      </c>
      <c r="Q22" s="25">
        <v>77</v>
      </c>
      <c r="R22" s="25">
        <v>60</v>
      </c>
      <c r="S22" s="25">
        <v>1</v>
      </c>
      <c r="T22" s="25">
        <v>39</v>
      </c>
      <c r="U22" s="25">
        <v>24</v>
      </c>
      <c r="V22" s="25">
        <v>0</v>
      </c>
      <c r="W22" s="25">
        <v>26</v>
      </c>
      <c r="X22" s="25">
        <v>18</v>
      </c>
      <c r="Y22" s="25">
        <v>2</v>
      </c>
      <c r="Z22" s="25">
        <v>6</v>
      </c>
      <c r="AA22" s="25">
        <v>4</v>
      </c>
      <c r="AB22" s="25">
        <v>0</v>
      </c>
      <c r="AC22" s="25">
        <v>13</v>
      </c>
      <c r="AD22" s="25">
        <v>9</v>
      </c>
      <c r="AE22" s="25">
        <v>0</v>
      </c>
      <c r="AF22" s="25">
        <v>28</v>
      </c>
      <c r="AG22" s="25">
        <v>23</v>
      </c>
      <c r="AH22" s="25">
        <v>0</v>
      </c>
      <c r="AI22" s="25">
        <v>97</v>
      </c>
      <c r="AJ22" s="25">
        <v>77</v>
      </c>
      <c r="AK22" s="25">
        <v>0</v>
      </c>
      <c r="AL22" s="25">
        <f t="shared" si="9"/>
        <v>2772</v>
      </c>
      <c r="AM22" s="25">
        <f t="shared" si="10"/>
        <v>2002</v>
      </c>
      <c r="AN22" s="25">
        <v>223</v>
      </c>
      <c r="AO22" s="25">
        <v>145</v>
      </c>
      <c r="AP22" s="25">
        <v>10</v>
      </c>
      <c r="AQ22" s="25">
        <v>220</v>
      </c>
      <c r="AR22" s="25">
        <v>157</v>
      </c>
      <c r="AS22" s="25">
        <v>2</v>
      </c>
      <c r="AT22" s="25">
        <v>104</v>
      </c>
      <c r="AU22" s="25">
        <v>63</v>
      </c>
      <c r="AV22" s="25">
        <v>4</v>
      </c>
      <c r="AW22" s="25">
        <v>97</v>
      </c>
      <c r="AX22" s="25">
        <v>67</v>
      </c>
      <c r="AY22" s="25">
        <v>1</v>
      </c>
      <c r="AZ22" s="25">
        <v>13</v>
      </c>
      <c r="BA22" s="25">
        <v>7</v>
      </c>
      <c r="BB22" s="25">
        <v>1</v>
      </c>
      <c r="BC22" s="25">
        <v>0</v>
      </c>
      <c r="BD22" s="25">
        <v>0</v>
      </c>
      <c r="BE22" s="25">
        <v>0</v>
      </c>
      <c r="BF22" s="25">
        <v>0</v>
      </c>
      <c r="BG22" s="25">
        <v>0</v>
      </c>
      <c r="BH22" s="25">
        <v>0</v>
      </c>
      <c r="BI22" s="25">
        <v>0</v>
      </c>
      <c r="BJ22" s="25">
        <v>0</v>
      </c>
      <c r="BK22" s="25">
        <v>0</v>
      </c>
      <c r="BL22" s="25">
        <v>0</v>
      </c>
      <c r="BM22" s="25">
        <v>0</v>
      </c>
      <c r="BN22" s="25">
        <v>0</v>
      </c>
      <c r="BO22" s="25">
        <v>0</v>
      </c>
      <c r="BP22" s="25">
        <v>0</v>
      </c>
      <c r="BQ22" s="25">
        <v>0</v>
      </c>
      <c r="BR22" s="25">
        <v>0</v>
      </c>
      <c r="BS22" s="25">
        <v>0</v>
      </c>
      <c r="BT22" s="25">
        <v>0</v>
      </c>
      <c r="BU22" s="25">
        <v>0</v>
      </c>
      <c r="BV22" s="25">
        <v>0</v>
      </c>
      <c r="BW22" s="25">
        <v>0</v>
      </c>
      <c r="BX22" s="25">
        <f t="shared" si="11"/>
        <v>657</v>
      </c>
      <c r="BY22" s="25">
        <f t="shared" si="3"/>
        <v>439</v>
      </c>
      <c r="BZ22" s="25">
        <v>0</v>
      </c>
      <c r="CA22" s="25">
        <v>0</v>
      </c>
      <c r="CB22" s="25">
        <v>0</v>
      </c>
      <c r="CC22" s="25">
        <v>0</v>
      </c>
      <c r="CD22" s="25">
        <v>0</v>
      </c>
      <c r="CE22" s="25">
        <v>0</v>
      </c>
      <c r="CF22" s="25">
        <v>0</v>
      </c>
      <c r="CG22" s="25">
        <v>0</v>
      </c>
      <c r="CH22" s="25">
        <v>0</v>
      </c>
      <c r="CI22" s="25">
        <v>0</v>
      </c>
      <c r="CJ22" s="25">
        <v>0</v>
      </c>
      <c r="CK22" s="25">
        <v>0</v>
      </c>
      <c r="CL22" s="25">
        <v>0</v>
      </c>
      <c r="CM22" s="25">
        <v>0</v>
      </c>
      <c r="CN22" s="25">
        <v>0</v>
      </c>
      <c r="CO22" s="25">
        <v>0</v>
      </c>
      <c r="CP22" s="25">
        <v>0</v>
      </c>
      <c r="CQ22" s="25">
        <v>0</v>
      </c>
      <c r="CR22" s="25">
        <v>0</v>
      </c>
      <c r="CS22" s="25">
        <v>0</v>
      </c>
      <c r="CT22" s="25">
        <v>0</v>
      </c>
      <c r="CU22" s="25">
        <v>0</v>
      </c>
      <c r="CV22" s="25">
        <v>0</v>
      </c>
      <c r="CW22" s="25">
        <v>0</v>
      </c>
      <c r="CX22" s="25">
        <v>0</v>
      </c>
      <c r="CY22" s="25">
        <v>0</v>
      </c>
      <c r="CZ22" s="25">
        <v>0</v>
      </c>
      <c r="DA22" s="25">
        <v>0</v>
      </c>
      <c r="DB22" s="25">
        <v>0</v>
      </c>
      <c r="DC22" s="25">
        <v>0</v>
      </c>
      <c r="DD22" s="25">
        <v>0</v>
      </c>
      <c r="DE22" s="25">
        <v>0</v>
      </c>
      <c r="DF22" s="25">
        <v>0</v>
      </c>
      <c r="DG22" s="25">
        <v>0</v>
      </c>
      <c r="DH22" s="25">
        <v>0</v>
      </c>
      <c r="DI22" s="25">
        <v>0</v>
      </c>
      <c r="DJ22" s="25">
        <f t="shared" si="12"/>
        <v>0</v>
      </c>
      <c r="DK22" s="25">
        <f t="shared" si="13"/>
        <v>0</v>
      </c>
      <c r="DL22" s="25">
        <v>0</v>
      </c>
      <c r="DM22" s="25">
        <v>0</v>
      </c>
      <c r="DN22" s="25">
        <v>0</v>
      </c>
      <c r="DO22" s="25">
        <v>0</v>
      </c>
      <c r="DP22" s="25">
        <v>0</v>
      </c>
      <c r="DQ22" s="25">
        <v>0</v>
      </c>
      <c r="DR22" s="25">
        <v>0</v>
      </c>
      <c r="DS22" s="25">
        <v>0</v>
      </c>
      <c r="DT22" s="25">
        <v>0</v>
      </c>
      <c r="DU22" s="25">
        <v>0</v>
      </c>
      <c r="DV22" s="25">
        <v>0</v>
      </c>
      <c r="DW22" s="25">
        <v>0</v>
      </c>
      <c r="DX22" s="25">
        <v>0</v>
      </c>
      <c r="DY22" s="25">
        <v>0</v>
      </c>
      <c r="DZ22" s="25">
        <v>0</v>
      </c>
      <c r="EA22" s="25">
        <v>0</v>
      </c>
      <c r="EB22" s="25">
        <v>0</v>
      </c>
      <c r="EC22" s="25">
        <v>0</v>
      </c>
      <c r="ED22" s="25">
        <v>0</v>
      </c>
      <c r="EE22" s="25">
        <v>0</v>
      </c>
      <c r="EF22" s="25">
        <v>0</v>
      </c>
      <c r="EG22" s="25">
        <v>0</v>
      </c>
      <c r="EH22" s="25">
        <v>0</v>
      </c>
      <c r="EI22" s="25">
        <v>0</v>
      </c>
      <c r="EJ22" s="25">
        <v>0</v>
      </c>
      <c r="EK22" s="25">
        <v>0</v>
      </c>
      <c r="EL22" s="25">
        <v>0</v>
      </c>
      <c r="EM22" s="25">
        <v>0</v>
      </c>
      <c r="EN22" s="25">
        <v>0</v>
      </c>
      <c r="EO22" s="25">
        <v>0</v>
      </c>
      <c r="EP22" s="25">
        <v>0</v>
      </c>
      <c r="EQ22" s="25">
        <v>0</v>
      </c>
      <c r="ER22" s="25">
        <v>0</v>
      </c>
      <c r="ES22" s="25">
        <v>0</v>
      </c>
      <c r="ET22" s="25">
        <v>0</v>
      </c>
      <c r="EU22" s="25">
        <v>0</v>
      </c>
      <c r="EV22" s="25">
        <f t="shared" si="14"/>
        <v>0</v>
      </c>
      <c r="EW22" s="25">
        <f t="shared" si="15"/>
        <v>0</v>
      </c>
      <c r="EX22" s="25">
        <v>0</v>
      </c>
      <c r="EY22" s="25">
        <v>0</v>
      </c>
      <c r="EZ22" s="25">
        <v>0</v>
      </c>
      <c r="FA22" s="25">
        <v>0</v>
      </c>
      <c r="FB22" s="25">
        <v>0</v>
      </c>
      <c r="FC22" s="25">
        <v>0</v>
      </c>
      <c r="FD22" s="25">
        <v>7</v>
      </c>
      <c r="FE22" s="25">
        <v>6</v>
      </c>
      <c r="FF22" s="25">
        <v>0</v>
      </c>
      <c r="FG22" s="25">
        <v>7</v>
      </c>
      <c r="FH22" s="25">
        <v>0</v>
      </c>
      <c r="FI22" s="25">
        <v>0</v>
      </c>
      <c r="FJ22" s="25">
        <v>28</v>
      </c>
      <c r="FK22" s="25">
        <v>25</v>
      </c>
      <c r="FL22" s="25">
        <v>0</v>
      </c>
      <c r="FM22" s="25">
        <v>75</v>
      </c>
      <c r="FN22" s="25">
        <v>71</v>
      </c>
      <c r="FO22" s="25">
        <v>0</v>
      </c>
      <c r="FP22" s="25">
        <v>86</v>
      </c>
      <c r="FQ22" s="25">
        <v>71</v>
      </c>
      <c r="FR22" s="25">
        <v>2</v>
      </c>
      <c r="FS22" s="25">
        <v>123</v>
      </c>
      <c r="FT22" s="25">
        <v>100</v>
      </c>
      <c r="FU22" s="25">
        <v>2</v>
      </c>
      <c r="FV22" s="25">
        <v>166</v>
      </c>
      <c r="FW22" s="25">
        <v>134</v>
      </c>
      <c r="FX22" s="25">
        <v>3</v>
      </c>
      <c r="FY22" s="25">
        <v>143</v>
      </c>
      <c r="FZ22" s="25">
        <v>102</v>
      </c>
      <c r="GA22" s="25">
        <v>5</v>
      </c>
      <c r="GB22" s="25">
        <v>161</v>
      </c>
      <c r="GC22" s="25">
        <v>77</v>
      </c>
      <c r="GD22" s="25">
        <v>0</v>
      </c>
      <c r="GE22" s="25">
        <v>335</v>
      </c>
      <c r="GF22" s="25">
        <v>215</v>
      </c>
      <c r="GG22" s="25">
        <v>11</v>
      </c>
      <c r="GH22" s="25">
        <f t="shared" si="0"/>
        <v>1131</v>
      </c>
      <c r="GI22" s="25">
        <f t="shared" si="1"/>
        <v>801</v>
      </c>
      <c r="GJ22" s="25">
        <v>1605</v>
      </c>
      <c r="GK22" s="25">
        <v>307</v>
      </c>
      <c r="GL22" s="25">
        <v>19</v>
      </c>
      <c r="GM22" s="25">
        <v>331</v>
      </c>
      <c r="GN22" s="25">
        <v>212</v>
      </c>
      <c r="GO22" s="25">
        <v>7</v>
      </c>
      <c r="GP22" s="25">
        <v>299</v>
      </c>
      <c r="GQ22" s="25">
        <v>215</v>
      </c>
      <c r="GR22" s="25">
        <v>13</v>
      </c>
      <c r="GS22" s="25">
        <v>295</v>
      </c>
      <c r="GT22" s="25">
        <v>167</v>
      </c>
      <c r="GU22" s="25">
        <v>4</v>
      </c>
      <c r="GV22" s="25">
        <v>106</v>
      </c>
      <c r="GW22" s="25">
        <v>91</v>
      </c>
      <c r="GX22" s="25">
        <v>2</v>
      </c>
      <c r="GY22" s="25">
        <v>77</v>
      </c>
      <c r="GZ22" s="25">
        <v>67</v>
      </c>
      <c r="HA22" s="25">
        <v>2</v>
      </c>
      <c r="HB22" s="25">
        <v>30</v>
      </c>
      <c r="HC22" s="25">
        <v>14</v>
      </c>
      <c r="HD22" s="25">
        <v>1</v>
      </c>
      <c r="HE22" s="25">
        <v>2</v>
      </c>
      <c r="HF22" s="25">
        <v>2</v>
      </c>
      <c r="HG22" s="25">
        <v>0</v>
      </c>
      <c r="HH22" s="25">
        <v>0</v>
      </c>
      <c r="HI22" s="25">
        <v>0</v>
      </c>
      <c r="HJ22" s="25">
        <v>0</v>
      </c>
      <c r="HK22" s="25">
        <v>0</v>
      </c>
      <c r="HL22" s="25">
        <v>0</v>
      </c>
      <c r="HM22" s="25">
        <v>0</v>
      </c>
      <c r="HN22" s="25">
        <v>17</v>
      </c>
      <c r="HO22" s="25">
        <v>17</v>
      </c>
      <c r="HP22" s="25">
        <v>0</v>
      </c>
      <c r="HQ22" s="25">
        <v>17</v>
      </c>
      <c r="HR22" s="25">
        <v>17</v>
      </c>
      <c r="HS22" s="25">
        <v>0</v>
      </c>
      <c r="HT22" s="25">
        <f t="shared" si="4"/>
        <v>2779</v>
      </c>
      <c r="HU22" s="25">
        <f t="shared" si="2"/>
        <v>1109</v>
      </c>
      <c r="HV22" s="25">
        <v>33</v>
      </c>
      <c r="HW22" s="25">
        <v>33</v>
      </c>
      <c r="HX22" s="25">
        <v>0</v>
      </c>
      <c r="HY22" s="25">
        <v>47</v>
      </c>
      <c r="HZ22" s="25">
        <v>29</v>
      </c>
      <c r="IA22" s="25">
        <v>0</v>
      </c>
      <c r="IB22" s="25">
        <v>69</v>
      </c>
      <c r="IC22" s="25">
        <v>62</v>
      </c>
      <c r="ID22" s="25">
        <v>1</v>
      </c>
      <c r="IE22" s="25">
        <v>145</v>
      </c>
      <c r="IF22" s="25">
        <v>120</v>
      </c>
      <c r="IG22" s="25">
        <v>2</v>
      </c>
      <c r="IH22" s="25">
        <v>208</v>
      </c>
      <c r="II22" s="25">
        <v>187</v>
      </c>
      <c r="IJ22" s="25">
        <v>2</v>
      </c>
      <c r="IK22" s="25">
        <v>74</v>
      </c>
      <c r="IL22" s="25">
        <v>64</v>
      </c>
      <c r="IM22" s="25">
        <v>0</v>
      </c>
      <c r="IN22" s="25">
        <v>44</v>
      </c>
      <c r="IO22" s="25">
        <v>40</v>
      </c>
      <c r="IP22" s="25">
        <v>3</v>
      </c>
      <c r="IQ22" s="25">
        <v>28</v>
      </c>
      <c r="IR22" s="25">
        <v>23</v>
      </c>
      <c r="IS22" s="25">
        <v>1</v>
      </c>
      <c r="IT22" s="25">
        <v>23</v>
      </c>
      <c r="IU22" s="25">
        <v>20</v>
      </c>
      <c r="IV22" s="25">
        <v>0</v>
      </c>
      <c r="IW22" s="25">
        <v>20</v>
      </c>
      <c r="IX22" s="25">
        <v>17</v>
      </c>
      <c r="IY22" s="25">
        <v>0</v>
      </c>
      <c r="IZ22" s="25">
        <v>69</v>
      </c>
      <c r="JA22" s="25">
        <v>64</v>
      </c>
      <c r="JB22" s="25">
        <v>0</v>
      </c>
      <c r="JC22" s="25">
        <v>194</v>
      </c>
      <c r="JD22" s="25">
        <v>191</v>
      </c>
      <c r="JE22" s="25">
        <v>1</v>
      </c>
      <c r="JF22" s="25">
        <f t="shared" si="5"/>
        <v>954</v>
      </c>
      <c r="JG22" s="25">
        <f t="shared" si="6"/>
        <v>786</v>
      </c>
      <c r="JH22" s="25">
        <v>581</v>
      </c>
      <c r="JI22" s="25">
        <v>503</v>
      </c>
      <c r="JJ22" s="25">
        <v>11</v>
      </c>
      <c r="JK22" s="25">
        <v>544</v>
      </c>
      <c r="JL22" s="25">
        <v>426</v>
      </c>
      <c r="JM22" s="25">
        <v>3</v>
      </c>
      <c r="JN22" s="25">
        <v>358</v>
      </c>
      <c r="JO22" s="25">
        <v>280</v>
      </c>
      <c r="JP22" s="25">
        <v>8</v>
      </c>
      <c r="JQ22" s="25">
        <v>124</v>
      </c>
      <c r="JR22" s="25">
        <v>99</v>
      </c>
      <c r="JS22" s="25">
        <v>4</v>
      </c>
      <c r="JT22" s="25">
        <v>58</v>
      </c>
      <c r="JU22" s="25">
        <v>43</v>
      </c>
      <c r="JV22" s="25">
        <v>1</v>
      </c>
      <c r="JW22" s="25">
        <v>34</v>
      </c>
      <c r="JX22" s="25">
        <v>27</v>
      </c>
      <c r="JY22" s="25">
        <v>0</v>
      </c>
      <c r="JZ22" s="25">
        <v>33</v>
      </c>
      <c r="KA22" s="25">
        <v>4</v>
      </c>
      <c r="KB22" s="25">
        <v>0</v>
      </c>
      <c r="KC22" s="26">
        <f t="shared" si="7"/>
        <v>1732</v>
      </c>
      <c r="KD22" s="26">
        <f t="shared" si="8"/>
        <v>1382</v>
      </c>
    </row>
    <row r="23" spans="1:290" x14ac:dyDescent="0.3">
      <c r="A23" s="33" t="s">
        <v>16</v>
      </c>
      <c r="B23" s="25">
        <v>84</v>
      </c>
      <c r="C23" s="25">
        <v>70</v>
      </c>
      <c r="D23" s="25">
        <v>0</v>
      </c>
      <c r="E23" s="25">
        <v>228</v>
      </c>
      <c r="F23" s="25">
        <v>179</v>
      </c>
      <c r="G23" s="25">
        <v>3</v>
      </c>
      <c r="H23" s="25">
        <v>388</v>
      </c>
      <c r="I23" s="25">
        <v>269</v>
      </c>
      <c r="J23" s="25">
        <v>7</v>
      </c>
      <c r="K23" s="25">
        <v>138</v>
      </c>
      <c r="L23" s="25">
        <v>96</v>
      </c>
      <c r="M23" s="25">
        <v>5</v>
      </c>
      <c r="N23" s="25">
        <v>122</v>
      </c>
      <c r="O23" s="25">
        <v>89</v>
      </c>
      <c r="P23" s="25">
        <v>3</v>
      </c>
      <c r="Q23" s="25">
        <v>103</v>
      </c>
      <c r="R23" s="25">
        <v>72</v>
      </c>
      <c r="S23" s="25">
        <v>0</v>
      </c>
      <c r="T23" s="25">
        <v>98</v>
      </c>
      <c r="U23" s="25">
        <v>70</v>
      </c>
      <c r="V23" s="25">
        <v>1</v>
      </c>
      <c r="W23" s="25">
        <v>97</v>
      </c>
      <c r="X23" s="25">
        <v>66</v>
      </c>
      <c r="Y23" s="25">
        <v>4</v>
      </c>
      <c r="Z23" s="25">
        <v>45</v>
      </c>
      <c r="AA23" s="25">
        <v>30</v>
      </c>
      <c r="AB23" s="25">
        <v>1</v>
      </c>
      <c r="AC23" s="25">
        <v>130</v>
      </c>
      <c r="AD23" s="25">
        <v>103</v>
      </c>
      <c r="AE23" s="25">
        <v>5</v>
      </c>
      <c r="AF23" s="25">
        <v>178</v>
      </c>
      <c r="AG23" s="25">
        <v>137</v>
      </c>
      <c r="AH23" s="25">
        <v>5</v>
      </c>
      <c r="AI23" s="25">
        <v>258</v>
      </c>
      <c r="AJ23" s="25">
        <v>201</v>
      </c>
      <c r="AK23" s="25">
        <v>2</v>
      </c>
      <c r="AL23" s="25">
        <f t="shared" si="9"/>
        <v>1869</v>
      </c>
      <c r="AM23" s="25">
        <f t="shared" si="10"/>
        <v>1382</v>
      </c>
      <c r="AN23" s="25">
        <v>389</v>
      </c>
      <c r="AO23" s="25">
        <v>309</v>
      </c>
      <c r="AP23" s="25">
        <v>8</v>
      </c>
      <c r="AQ23" s="25">
        <v>288</v>
      </c>
      <c r="AR23" s="25">
        <v>206</v>
      </c>
      <c r="AS23" s="25">
        <v>6</v>
      </c>
      <c r="AT23" s="25">
        <v>146</v>
      </c>
      <c r="AU23" s="25">
        <v>106</v>
      </c>
      <c r="AV23" s="25">
        <v>7</v>
      </c>
      <c r="AW23" s="25">
        <v>50</v>
      </c>
      <c r="AX23" s="25">
        <v>32</v>
      </c>
      <c r="AY23" s="25">
        <v>1</v>
      </c>
      <c r="AZ23" s="25">
        <v>0</v>
      </c>
      <c r="BA23" s="25">
        <v>0</v>
      </c>
      <c r="BB23" s="25">
        <v>0</v>
      </c>
      <c r="BC23" s="25">
        <v>0</v>
      </c>
      <c r="BD23" s="25">
        <v>0</v>
      </c>
      <c r="BE23" s="25">
        <v>0</v>
      </c>
      <c r="BF23" s="25">
        <v>0</v>
      </c>
      <c r="BG23" s="25">
        <v>0</v>
      </c>
      <c r="BH23" s="25">
        <v>0</v>
      </c>
      <c r="BI23" s="25">
        <v>0</v>
      </c>
      <c r="BJ23" s="25">
        <v>0</v>
      </c>
      <c r="BK23" s="25">
        <v>0</v>
      </c>
      <c r="BL23" s="25">
        <v>0</v>
      </c>
      <c r="BM23" s="25">
        <v>0</v>
      </c>
      <c r="BN23" s="25">
        <v>0</v>
      </c>
      <c r="BO23" s="25">
        <v>0</v>
      </c>
      <c r="BP23" s="25">
        <v>0</v>
      </c>
      <c r="BQ23" s="25">
        <v>0</v>
      </c>
      <c r="BR23" s="25">
        <v>0</v>
      </c>
      <c r="BS23" s="25">
        <v>0</v>
      </c>
      <c r="BT23" s="25">
        <v>0</v>
      </c>
      <c r="BU23" s="25">
        <v>0</v>
      </c>
      <c r="BV23" s="25">
        <v>0</v>
      </c>
      <c r="BW23" s="25">
        <v>0</v>
      </c>
      <c r="BX23" s="25">
        <f t="shared" si="11"/>
        <v>873</v>
      </c>
      <c r="BY23" s="25">
        <f t="shared" si="3"/>
        <v>653</v>
      </c>
      <c r="BZ23" s="25">
        <v>0</v>
      </c>
      <c r="CA23" s="25">
        <v>0</v>
      </c>
      <c r="CB23" s="25">
        <v>0</v>
      </c>
      <c r="CC23" s="25">
        <v>0</v>
      </c>
      <c r="CD23" s="25">
        <v>0</v>
      </c>
      <c r="CE23" s="25">
        <v>0</v>
      </c>
      <c r="CF23" s="25">
        <v>0</v>
      </c>
      <c r="CG23" s="25">
        <v>0</v>
      </c>
      <c r="CH23" s="25">
        <v>0</v>
      </c>
      <c r="CI23" s="25">
        <v>0</v>
      </c>
      <c r="CJ23" s="25">
        <v>0</v>
      </c>
      <c r="CK23" s="25">
        <v>0</v>
      </c>
      <c r="CL23" s="25">
        <v>0</v>
      </c>
      <c r="CM23" s="25">
        <v>0</v>
      </c>
      <c r="CN23" s="25">
        <v>0</v>
      </c>
      <c r="CO23" s="25">
        <v>0</v>
      </c>
      <c r="CP23" s="25">
        <v>0</v>
      </c>
      <c r="CQ23" s="25">
        <v>0</v>
      </c>
      <c r="CR23" s="25">
        <v>0</v>
      </c>
      <c r="CS23" s="25">
        <v>0</v>
      </c>
      <c r="CT23" s="25">
        <v>0</v>
      </c>
      <c r="CU23" s="25">
        <v>0</v>
      </c>
      <c r="CV23" s="25">
        <v>0</v>
      </c>
      <c r="CW23" s="25">
        <v>0</v>
      </c>
      <c r="CX23" s="25">
        <v>0</v>
      </c>
      <c r="CY23" s="25">
        <v>0</v>
      </c>
      <c r="CZ23" s="25">
        <v>0</v>
      </c>
      <c r="DA23" s="25">
        <v>0</v>
      </c>
      <c r="DB23" s="25">
        <v>0</v>
      </c>
      <c r="DC23" s="25">
        <v>0</v>
      </c>
      <c r="DD23" s="25">
        <v>0</v>
      </c>
      <c r="DE23" s="25">
        <v>0</v>
      </c>
      <c r="DF23" s="25">
        <v>0</v>
      </c>
      <c r="DG23" s="25">
        <v>0</v>
      </c>
      <c r="DH23" s="25">
        <v>0</v>
      </c>
      <c r="DI23" s="25">
        <v>0</v>
      </c>
      <c r="DJ23" s="25">
        <f t="shared" si="12"/>
        <v>0</v>
      </c>
      <c r="DK23" s="25">
        <f t="shared" si="13"/>
        <v>0</v>
      </c>
      <c r="DL23" s="25">
        <v>0</v>
      </c>
      <c r="DM23" s="25">
        <v>0</v>
      </c>
      <c r="DN23" s="25">
        <v>0</v>
      </c>
      <c r="DO23" s="25">
        <v>0</v>
      </c>
      <c r="DP23" s="25">
        <v>0</v>
      </c>
      <c r="DQ23" s="25">
        <v>0</v>
      </c>
      <c r="DR23" s="25">
        <v>0</v>
      </c>
      <c r="DS23" s="25">
        <v>0</v>
      </c>
      <c r="DT23" s="25">
        <v>0</v>
      </c>
      <c r="DU23" s="25">
        <v>0</v>
      </c>
      <c r="DV23" s="25">
        <v>0</v>
      </c>
      <c r="DW23" s="25">
        <v>0</v>
      </c>
      <c r="DX23" s="25">
        <v>0</v>
      </c>
      <c r="DY23" s="25">
        <v>0</v>
      </c>
      <c r="DZ23" s="25">
        <v>0</v>
      </c>
      <c r="EA23" s="25">
        <v>0</v>
      </c>
      <c r="EB23" s="25">
        <v>0</v>
      </c>
      <c r="EC23" s="25">
        <v>0</v>
      </c>
      <c r="ED23" s="25">
        <v>0</v>
      </c>
      <c r="EE23" s="25">
        <v>0</v>
      </c>
      <c r="EF23" s="25">
        <v>0</v>
      </c>
      <c r="EG23" s="25">
        <v>0</v>
      </c>
      <c r="EH23" s="25">
        <v>0</v>
      </c>
      <c r="EI23" s="25">
        <v>0</v>
      </c>
      <c r="EJ23" s="25">
        <v>0</v>
      </c>
      <c r="EK23" s="25">
        <v>0</v>
      </c>
      <c r="EL23" s="25">
        <v>0</v>
      </c>
      <c r="EM23" s="25">
        <v>0</v>
      </c>
      <c r="EN23" s="25">
        <v>0</v>
      </c>
      <c r="EO23" s="25">
        <v>0</v>
      </c>
      <c r="EP23" s="25">
        <v>0</v>
      </c>
      <c r="EQ23" s="25">
        <v>0</v>
      </c>
      <c r="ER23" s="25">
        <v>0</v>
      </c>
      <c r="ES23" s="25">
        <v>0</v>
      </c>
      <c r="ET23" s="25">
        <v>0</v>
      </c>
      <c r="EU23" s="25">
        <v>0</v>
      </c>
      <c r="EV23" s="25">
        <f t="shared" si="14"/>
        <v>0</v>
      </c>
      <c r="EW23" s="25">
        <f t="shared" si="15"/>
        <v>0</v>
      </c>
      <c r="EX23" s="25">
        <v>0</v>
      </c>
      <c r="EY23" s="25">
        <v>0</v>
      </c>
      <c r="EZ23" s="25">
        <v>0</v>
      </c>
      <c r="FA23" s="25">
        <v>0</v>
      </c>
      <c r="FB23" s="25">
        <v>0</v>
      </c>
      <c r="FC23" s="25">
        <v>0</v>
      </c>
      <c r="FD23" s="25">
        <v>2</v>
      </c>
      <c r="FE23" s="25">
        <v>2</v>
      </c>
      <c r="FF23" s="25">
        <v>0</v>
      </c>
      <c r="FG23" s="25">
        <v>11</v>
      </c>
      <c r="FH23" s="25">
        <v>7</v>
      </c>
      <c r="FI23" s="25">
        <v>1</v>
      </c>
      <c r="FJ23" s="25">
        <v>31</v>
      </c>
      <c r="FK23" s="25">
        <v>16</v>
      </c>
      <c r="FL23" s="25">
        <v>1</v>
      </c>
      <c r="FM23" s="25">
        <v>52</v>
      </c>
      <c r="FN23" s="25">
        <v>39</v>
      </c>
      <c r="FO23" s="25">
        <v>0</v>
      </c>
      <c r="FP23" s="25">
        <v>30</v>
      </c>
      <c r="FQ23" s="25">
        <v>25</v>
      </c>
      <c r="FR23" s="25">
        <v>0</v>
      </c>
      <c r="FS23" s="25">
        <v>459</v>
      </c>
      <c r="FT23" s="25">
        <v>365</v>
      </c>
      <c r="FU23" s="25">
        <v>3</v>
      </c>
      <c r="FV23" s="25">
        <v>1151</v>
      </c>
      <c r="FW23" s="25">
        <v>993</v>
      </c>
      <c r="FX23" s="25">
        <v>17</v>
      </c>
      <c r="FY23" s="25">
        <v>699</v>
      </c>
      <c r="FZ23" s="25">
        <v>628</v>
      </c>
      <c r="GA23" s="25">
        <v>4</v>
      </c>
      <c r="GB23" s="25">
        <v>708</v>
      </c>
      <c r="GC23" s="25">
        <v>597</v>
      </c>
      <c r="GD23" s="25">
        <v>11</v>
      </c>
      <c r="GE23" s="25">
        <v>253</v>
      </c>
      <c r="GF23" s="25">
        <v>201</v>
      </c>
      <c r="GG23" s="25">
        <v>0</v>
      </c>
      <c r="GH23" s="25">
        <f t="shared" si="0"/>
        <v>3396</v>
      </c>
      <c r="GI23" s="25">
        <f t="shared" si="1"/>
        <v>2873</v>
      </c>
      <c r="GJ23" s="25">
        <v>647</v>
      </c>
      <c r="GK23" s="25">
        <v>409</v>
      </c>
      <c r="GL23" s="25">
        <v>8</v>
      </c>
      <c r="GM23" s="25">
        <v>84</v>
      </c>
      <c r="GN23" s="25">
        <v>52</v>
      </c>
      <c r="GO23" s="25">
        <v>3</v>
      </c>
      <c r="GP23" s="25">
        <v>11</v>
      </c>
      <c r="GQ23" s="25">
        <v>5</v>
      </c>
      <c r="GR23" s="25">
        <v>0</v>
      </c>
      <c r="GS23" s="25">
        <v>12</v>
      </c>
      <c r="GT23" s="25">
        <v>3</v>
      </c>
      <c r="GU23" s="25">
        <v>1</v>
      </c>
      <c r="GV23" s="25">
        <v>2</v>
      </c>
      <c r="GW23" s="25">
        <v>1</v>
      </c>
      <c r="GX23" s="25">
        <v>0</v>
      </c>
      <c r="GY23" s="25">
        <v>3</v>
      </c>
      <c r="GZ23" s="25">
        <v>0</v>
      </c>
      <c r="HA23" s="25">
        <v>0</v>
      </c>
      <c r="HB23" s="25">
        <v>0</v>
      </c>
      <c r="HC23" s="25">
        <v>0</v>
      </c>
      <c r="HD23" s="25">
        <v>0</v>
      </c>
      <c r="HE23" s="25">
        <v>0</v>
      </c>
      <c r="HF23" s="25">
        <v>0</v>
      </c>
      <c r="HG23" s="25">
        <v>0</v>
      </c>
      <c r="HH23" s="25">
        <v>0</v>
      </c>
      <c r="HI23" s="25">
        <v>0</v>
      </c>
      <c r="HJ23" s="25">
        <v>0</v>
      </c>
      <c r="HK23" s="25">
        <v>0</v>
      </c>
      <c r="HL23" s="25">
        <v>0</v>
      </c>
      <c r="HM23" s="25">
        <v>0</v>
      </c>
      <c r="HN23" s="25">
        <v>0</v>
      </c>
      <c r="HO23" s="25">
        <v>0</v>
      </c>
      <c r="HP23" s="25">
        <v>0</v>
      </c>
      <c r="HQ23" s="25">
        <v>0</v>
      </c>
      <c r="HR23" s="25">
        <v>0</v>
      </c>
      <c r="HS23" s="25">
        <v>0</v>
      </c>
      <c r="HT23" s="25">
        <f t="shared" si="4"/>
        <v>759</v>
      </c>
      <c r="HU23" s="25">
        <f t="shared" si="2"/>
        <v>470</v>
      </c>
      <c r="HV23" s="25">
        <v>0</v>
      </c>
      <c r="HW23" s="25">
        <v>0</v>
      </c>
      <c r="HX23" s="25">
        <v>0</v>
      </c>
      <c r="HY23" s="25">
        <v>0</v>
      </c>
      <c r="HZ23" s="25">
        <v>0</v>
      </c>
      <c r="IA23" s="25">
        <v>0</v>
      </c>
      <c r="IB23" s="25">
        <v>0</v>
      </c>
      <c r="IC23" s="25">
        <v>0</v>
      </c>
      <c r="ID23" s="25">
        <v>0</v>
      </c>
      <c r="IE23" s="25">
        <v>0</v>
      </c>
      <c r="IF23" s="25">
        <v>0</v>
      </c>
      <c r="IG23" s="25">
        <v>0</v>
      </c>
      <c r="IH23" s="25">
        <v>0</v>
      </c>
      <c r="II23" s="25">
        <v>0</v>
      </c>
      <c r="IJ23" s="25">
        <v>0</v>
      </c>
      <c r="IK23" s="25">
        <v>0</v>
      </c>
      <c r="IL23" s="25">
        <v>0</v>
      </c>
      <c r="IM23" s="25">
        <v>0</v>
      </c>
      <c r="IN23" s="25">
        <v>0</v>
      </c>
      <c r="IO23" s="25">
        <v>0</v>
      </c>
      <c r="IP23" s="25">
        <v>0</v>
      </c>
      <c r="IQ23" s="25">
        <v>0</v>
      </c>
      <c r="IR23" s="25">
        <v>0</v>
      </c>
      <c r="IS23" s="25">
        <v>0</v>
      </c>
      <c r="IT23" s="25">
        <v>0</v>
      </c>
      <c r="IU23" s="25">
        <v>0</v>
      </c>
      <c r="IV23" s="25">
        <v>0</v>
      </c>
      <c r="IW23" s="25">
        <v>0</v>
      </c>
      <c r="IX23" s="25">
        <v>0</v>
      </c>
      <c r="IY23" s="25">
        <v>0</v>
      </c>
      <c r="IZ23" s="25">
        <v>1</v>
      </c>
      <c r="JA23" s="25">
        <v>0</v>
      </c>
      <c r="JB23" s="25">
        <v>0</v>
      </c>
      <c r="JC23" s="25">
        <v>0</v>
      </c>
      <c r="JD23" s="25">
        <v>0</v>
      </c>
      <c r="JE23" s="25">
        <v>0</v>
      </c>
      <c r="JF23" s="25">
        <f t="shared" si="5"/>
        <v>1</v>
      </c>
      <c r="JG23" s="25">
        <f t="shared" si="6"/>
        <v>0</v>
      </c>
      <c r="JH23" s="25">
        <v>0</v>
      </c>
      <c r="JI23" s="25">
        <v>0</v>
      </c>
      <c r="JJ23" s="25">
        <v>0</v>
      </c>
      <c r="JK23" s="25">
        <v>0</v>
      </c>
      <c r="JL23" s="25">
        <v>0</v>
      </c>
      <c r="JM23" s="25">
        <v>0</v>
      </c>
      <c r="JN23" s="25">
        <v>0</v>
      </c>
      <c r="JO23" s="25">
        <v>0</v>
      </c>
      <c r="JP23" s="25">
        <v>0</v>
      </c>
      <c r="JQ23" s="25">
        <v>0</v>
      </c>
      <c r="JR23" s="25">
        <v>0</v>
      </c>
      <c r="JS23" s="25">
        <v>0</v>
      </c>
      <c r="JT23" s="25">
        <v>0</v>
      </c>
      <c r="JU23" s="25">
        <v>0</v>
      </c>
      <c r="JV23" s="25">
        <v>0</v>
      </c>
      <c r="JW23" s="25">
        <v>0</v>
      </c>
      <c r="JX23" s="25">
        <v>0</v>
      </c>
      <c r="JY23" s="25">
        <v>0</v>
      </c>
      <c r="JZ23" s="25">
        <v>0</v>
      </c>
      <c r="KA23" s="25">
        <v>0</v>
      </c>
      <c r="KB23" s="25">
        <v>0</v>
      </c>
      <c r="KC23" s="26">
        <f t="shared" si="7"/>
        <v>0</v>
      </c>
      <c r="KD23" s="26">
        <f t="shared" si="8"/>
        <v>0</v>
      </c>
    </row>
  </sheetData>
  <mergeCells count="116">
    <mergeCell ref="JH1:KB1"/>
    <mergeCell ref="JH2:JJ2"/>
    <mergeCell ref="JK2:JM2"/>
    <mergeCell ref="HV1:JE1"/>
    <mergeCell ref="HV2:HX2"/>
    <mergeCell ref="HY2:IA2"/>
    <mergeCell ref="IB2:ID2"/>
    <mergeCell ref="IE2:IG2"/>
    <mergeCell ref="IH2:IJ2"/>
    <mergeCell ref="IK2:IM2"/>
    <mergeCell ref="IN2:IP2"/>
    <mergeCell ref="IQ2:IS2"/>
    <mergeCell ref="IT2:IV2"/>
    <mergeCell ref="JC2:JE2"/>
    <mergeCell ref="JN2:JP2"/>
    <mergeCell ref="JQ2:JS2"/>
    <mergeCell ref="IW2:IY2"/>
    <mergeCell ref="IZ2:JB2"/>
    <mergeCell ref="A1:A3"/>
    <mergeCell ref="JW2:JY2"/>
    <mergeCell ref="AL2:AL3"/>
    <mergeCell ref="AM2:AM3"/>
    <mergeCell ref="BX2:BX3"/>
    <mergeCell ref="BY2:BY3"/>
    <mergeCell ref="DJ2:DJ3"/>
    <mergeCell ref="DK2:DK3"/>
    <mergeCell ref="EV2:EV3"/>
    <mergeCell ref="EW2:EW3"/>
    <mergeCell ref="JT2:JV2"/>
    <mergeCell ref="GJ1:HS1"/>
    <mergeCell ref="GJ2:GL2"/>
    <mergeCell ref="GM2:GO2"/>
    <mergeCell ref="GP2:GR2"/>
    <mergeCell ref="GS2:GU2"/>
    <mergeCell ref="GV2:GX2"/>
    <mergeCell ref="GY2:HA2"/>
    <mergeCell ref="HB2:HD2"/>
    <mergeCell ref="HE2:HG2"/>
    <mergeCell ref="HH2:HJ2"/>
    <mergeCell ref="HK2:HM2"/>
    <mergeCell ref="HN2:HP2"/>
    <mergeCell ref="HQ2:HS2"/>
    <mergeCell ref="EX1:GG1"/>
    <mergeCell ref="EX2:EZ2"/>
    <mergeCell ref="FA2:FC2"/>
    <mergeCell ref="FD2:FF2"/>
    <mergeCell ref="FG2:FI2"/>
    <mergeCell ref="FJ2:FL2"/>
    <mergeCell ref="FM2:FO2"/>
    <mergeCell ref="FP2:FR2"/>
    <mergeCell ref="FS2:FU2"/>
    <mergeCell ref="FV2:FX2"/>
    <mergeCell ref="FY2:GA2"/>
    <mergeCell ref="GB2:GD2"/>
    <mergeCell ref="GE2:GG2"/>
    <mergeCell ref="DL1:EU1"/>
    <mergeCell ref="DL2:DN2"/>
    <mergeCell ref="DO2:DQ2"/>
    <mergeCell ref="DR2:DT2"/>
    <mergeCell ref="DU2:DW2"/>
    <mergeCell ref="DX2:DZ2"/>
    <mergeCell ref="EA2:EC2"/>
    <mergeCell ref="ED2:EF2"/>
    <mergeCell ref="EG2:EI2"/>
    <mergeCell ref="EJ2:EL2"/>
    <mergeCell ref="EM2:EO2"/>
    <mergeCell ref="EP2:ER2"/>
    <mergeCell ref="ES2:EU2"/>
    <mergeCell ref="BZ1:DI1"/>
    <mergeCell ref="BZ2:CB2"/>
    <mergeCell ref="CC2:CE2"/>
    <mergeCell ref="CF2:CH2"/>
    <mergeCell ref="CI2:CK2"/>
    <mergeCell ref="CL2:CN2"/>
    <mergeCell ref="CO2:CQ2"/>
    <mergeCell ref="CR2:CT2"/>
    <mergeCell ref="CU2:CW2"/>
    <mergeCell ref="CX2:CZ2"/>
    <mergeCell ref="DA2:DC2"/>
    <mergeCell ref="DD2:DF2"/>
    <mergeCell ref="DG2:DI2"/>
    <mergeCell ref="AN1:BW1"/>
    <mergeCell ref="AN2:AP2"/>
    <mergeCell ref="AQ2:AS2"/>
    <mergeCell ref="AT2:AV2"/>
    <mergeCell ref="AW2:AY2"/>
    <mergeCell ref="AZ2:BB2"/>
    <mergeCell ref="BC2:BE2"/>
    <mergeCell ref="BF2:BH2"/>
    <mergeCell ref="BI2:BK2"/>
    <mergeCell ref="BL2:BN2"/>
    <mergeCell ref="BO2:BQ2"/>
    <mergeCell ref="BR2:BT2"/>
    <mergeCell ref="BU2:BW2"/>
    <mergeCell ref="B1:AK1"/>
    <mergeCell ref="B2:D2"/>
    <mergeCell ref="E2:G2"/>
    <mergeCell ref="H2:J2"/>
    <mergeCell ref="K2:M2"/>
    <mergeCell ref="N2:P2"/>
    <mergeCell ref="T2:V2"/>
    <mergeCell ref="W2:Y2"/>
    <mergeCell ref="Z2:AB2"/>
    <mergeCell ref="AC2:AE2"/>
    <mergeCell ref="AI2:AK2"/>
    <mergeCell ref="AF2:AH2"/>
    <mergeCell ref="GH2:GH3"/>
    <mergeCell ref="GI2:GI3"/>
    <mergeCell ref="HU2:HU3"/>
    <mergeCell ref="HT2:HT3"/>
    <mergeCell ref="JG2:JG3"/>
    <mergeCell ref="JF2:JF3"/>
    <mergeCell ref="KC2:KC3"/>
    <mergeCell ref="KD2:KD3"/>
    <mergeCell ref="Q2:S2"/>
    <mergeCell ref="JZ2:KB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4E4BD-C223-4275-83CD-A17DC2A53570}">
  <dimension ref="A1:JR25"/>
  <sheetViews>
    <sheetView tabSelected="1" zoomScaleNormal="100" workbookViewId="0">
      <pane xSplit="1" topLeftCell="B1" activePane="topRight" state="frozen"/>
      <selection pane="topRight" activeCell="E11" sqref="E11"/>
    </sheetView>
  </sheetViews>
  <sheetFormatPr defaultColWidth="9.140625" defaultRowHeight="15.75" x14ac:dyDescent="0.3"/>
  <cols>
    <col min="1" max="1" width="41.85546875" style="27" customWidth="1"/>
    <col min="2" max="3" width="9.140625" style="35"/>
    <col min="4" max="169" width="9.140625" style="34"/>
    <col min="170" max="16384" width="9.140625" style="27"/>
  </cols>
  <sheetData>
    <row r="1" spans="1:278" x14ac:dyDescent="0.3">
      <c r="A1" s="36"/>
      <c r="B1" s="24" t="s">
        <v>36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 t="s">
        <v>37</v>
      </c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 t="s">
        <v>38</v>
      </c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 t="s">
        <v>39</v>
      </c>
      <c r="BW1" s="24"/>
      <c r="BX1" s="24"/>
      <c r="BY1" s="24"/>
      <c r="BZ1" s="24"/>
      <c r="CA1" s="24"/>
      <c r="CB1" s="24"/>
      <c r="CC1" s="24"/>
      <c r="CD1" s="24"/>
      <c r="CE1" s="24"/>
      <c r="CF1" s="24"/>
      <c r="CG1" s="24"/>
      <c r="CH1" s="24"/>
      <c r="CI1" s="24"/>
      <c r="CJ1" s="24"/>
      <c r="CK1" s="24"/>
      <c r="CL1" s="24"/>
      <c r="CM1" s="24"/>
      <c r="CN1" s="24"/>
      <c r="CO1" s="24"/>
      <c r="CP1" s="24"/>
      <c r="CQ1" s="24"/>
      <c r="CR1" s="24"/>
      <c r="CS1" s="24"/>
      <c r="CT1" s="24" t="s">
        <v>40</v>
      </c>
      <c r="CU1" s="24"/>
      <c r="CV1" s="24"/>
      <c r="CW1" s="24"/>
      <c r="CX1" s="24"/>
      <c r="CY1" s="24"/>
      <c r="CZ1" s="24"/>
      <c r="DA1" s="24"/>
      <c r="DB1" s="24"/>
      <c r="DC1" s="24"/>
      <c r="DD1" s="24"/>
      <c r="DE1" s="24"/>
      <c r="DF1" s="24"/>
      <c r="DG1" s="24"/>
      <c r="DH1" s="24"/>
      <c r="DI1" s="24"/>
      <c r="DJ1" s="24"/>
      <c r="DK1" s="24"/>
      <c r="DL1" s="24"/>
      <c r="DM1" s="24"/>
      <c r="DN1" s="24"/>
      <c r="DO1" s="24"/>
      <c r="DP1" s="24"/>
      <c r="DQ1" s="24"/>
      <c r="DR1" s="24" t="s">
        <v>41</v>
      </c>
      <c r="DS1" s="24"/>
      <c r="DT1" s="24"/>
      <c r="DU1" s="24"/>
      <c r="DV1" s="24"/>
      <c r="DW1" s="24"/>
      <c r="DX1" s="24"/>
      <c r="DY1" s="24"/>
      <c r="DZ1" s="24"/>
      <c r="EA1" s="24"/>
      <c r="EB1" s="24"/>
      <c r="EC1" s="24"/>
      <c r="ED1" s="24"/>
      <c r="EE1" s="24"/>
      <c r="EF1" s="24"/>
      <c r="EG1" s="24"/>
      <c r="EH1" s="24"/>
      <c r="EI1" s="24"/>
      <c r="EJ1" s="24"/>
      <c r="EK1" s="24"/>
      <c r="EL1" s="24"/>
      <c r="EM1" s="24"/>
      <c r="EN1" s="24"/>
      <c r="EO1" s="24"/>
      <c r="EP1" s="24" t="s">
        <v>42</v>
      </c>
      <c r="EQ1" s="24"/>
      <c r="ER1" s="24"/>
      <c r="ES1" s="24"/>
      <c r="ET1" s="24"/>
      <c r="EU1" s="24"/>
      <c r="EV1" s="24"/>
      <c r="EW1" s="24"/>
      <c r="EX1" s="24"/>
      <c r="EY1" s="24"/>
      <c r="EZ1" s="24"/>
      <c r="FA1" s="24"/>
      <c r="FB1" s="24"/>
      <c r="FC1" s="24"/>
      <c r="FD1" s="24"/>
      <c r="FE1" s="24"/>
      <c r="FF1" s="24"/>
      <c r="FG1" s="24"/>
      <c r="FH1" s="24"/>
      <c r="FI1" s="24"/>
      <c r="FJ1" s="24"/>
      <c r="FK1" s="24"/>
      <c r="FL1" s="24"/>
      <c r="FM1" s="24"/>
      <c r="FN1" s="24" t="s">
        <v>43</v>
      </c>
      <c r="FO1" s="24"/>
      <c r="FP1" s="24"/>
      <c r="FQ1" s="24"/>
      <c r="FR1" s="24"/>
      <c r="FS1" s="24"/>
      <c r="FT1" s="24"/>
      <c r="FU1" s="24"/>
      <c r="FV1" s="24"/>
      <c r="FW1" s="24"/>
      <c r="FX1" s="24"/>
      <c r="FY1" s="24"/>
      <c r="FZ1" s="24"/>
      <c r="GA1" s="24"/>
      <c r="GB1" s="35"/>
      <c r="GC1" s="35"/>
      <c r="GD1" s="35"/>
      <c r="GE1" s="35"/>
      <c r="GF1" s="35"/>
      <c r="GG1" s="35"/>
      <c r="GH1" s="35"/>
      <c r="GI1" s="35"/>
      <c r="GJ1" s="35"/>
      <c r="GK1" s="35"/>
      <c r="GL1" s="35"/>
      <c r="GM1" s="35"/>
      <c r="GN1" s="35"/>
      <c r="GO1" s="35"/>
      <c r="GP1" s="35"/>
      <c r="GQ1" s="35"/>
      <c r="GR1" s="35"/>
      <c r="GS1" s="35"/>
      <c r="GT1" s="35"/>
      <c r="GU1" s="35"/>
      <c r="GV1" s="35"/>
      <c r="GW1" s="35"/>
      <c r="GX1" s="35"/>
      <c r="GY1" s="35"/>
      <c r="GZ1" s="35"/>
      <c r="HA1" s="35"/>
      <c r="HB1" s="35"/>
      <c r="HC1" s="35"/>
      <c r="HD1" s="35"/>
      <c r="HE1" s="35"/>
      <c r="HF1" s="35"/>
      <c r="HG1" s="35"/>
      <c r="HH1" s="35"/>
      <c r="HI1" s="35"/>
      <c r="HJ1" s="35"/>
      <c r="HK1" s="35"/>
      <c r="HL1" s="35"/>
      <c r="HM1" s="35"/>
      <c r="HN1" s="35"/>
      <c r="HO1" s="35"/>
      <c r="HP1" s="35"/>
      <c r="HQ1" s="35"/>
      <c r="HR1" s="35"/>
      <c r="HS1" s="35"/>
      <c r="HT1" s="35"/>
      <c r="HU1" s="35"/>
      <c r="HV1" s="35"/>
      <c r="HW1" s="35"/>
      <c r="HX1" s="35"/>
      <c r="HY1" s="35"/>
      <c r="HZ1" s="35"/>
      <c r="IA1" s="35"/>
      <c r="IB1" s="35"/>
      <c r="IC1" s="35"/>
      <c r="ID1" s="35"/>
      <c r="IE1" s="35"/>
      <c r="IF1" s="35"/>
      <c r="IG1" s="35"/>
      <c r="IH1" s="35"/>
      <c r="II1" s="35"/>
      <c r="IJ1" s="35"/>
      <c r="IK1" s="35"/>
      <c r="IL1" s="35"/>
      <c r="IM1" s="35"/>
      <c r="IN1" s="35"/>
      <c r="IO1" s="35"/>
      <c r="IP1" s="35"/>
      <c r="IQ1" s="35"/>
      <c r="IR1" s="35"/>
      <c r="IS1" s="35"/>
      <c r="IT1" s="35"/>
      <c r="IU1" s="35"/>
      <c r="IV1" s="35"/>
      <c r="IW1" s="35"/>
      <c r="IX1" s="35"/>
      <c r="IY1" s="35"/>
      <c r="IZ1" s="35"/>
      <c r="JA1" s="35"/>
      <c r="JB1" s="35"/>
      <c r="JC1" s="35"/>
      <c r="JD1" s="35"/>
      <c r="JE1" s="35"/>
      <c r="JF1" s="35"/>
      <c r="JG1" s="35"/>
      <c r="JH1" s="35"/>
      <c r="JI1" s="35"/>
      <c r="JJ1" s="35"/>
      <c r="JK1" s="35"/>
      <c r="JL1" s="35"/>
      <c r="JM1" s="35"/>
      <c r="JN1" s="35"/>
      <c r="JO1" s="35"/>
      <c r="JP1" s="35"/>
      <c r="JQ1" s="35"/>
      <c r="JR1" s="35"/>
    </row>
    <row r="2" spans="1:278" x14ac:dyDescent="0.3">
      <c r="A2" s="36"/>
      <c r="B2" s="24" t="s">
        <v>24</v>
      </c>
      <c r="C2" s="24"/>
      <c r="D2" s="37" t="s">
        <v>25</v>
      </c>
      <c r="E2" s="37"/>
      <c r="F2" s="37" t="s">
        <v>26</v>
      </c>
      <c r="G2" s="37"/>
      <c r="H2" s="37" t="s">
        <v>27</v>
      </c>
      <c r="I2" s="37"/>
      <c r="J2" s="37" t="s">
        <v>28</v>
      </c>
      <c r="K2" s="37"/>
      <c r="L2" s="37" t="s">
        <v>29</v>
      </c>
      <c r="M2" s="37"/>
      <c r="N2" s="37" t="s">
        <v>30</v>
      </c>
      <c r="O2" s="37"/>
      <c r="P2" s="37" t="s">
        <v>31</v>
      </c>
      <c r="Q2" s="37"/>
      <c r="R2" s="37" t="s">
        <v>32</v>
      </c>
      <c r="S2" s="37"/>
      <c r="T2" s="37" t="s">
        <v>33</v>
      </c>
      <c r="U2" s="37"/>
      <c r="V2" s="37" t="s">
        <v>34</v>
      </c>
      <c r="W2" s="37"/>
      <c r="X2" s="37" t="s">
        <v>35</v>
      </c>
      <c r="Y2" s="37"/>
      <c r="Z2" s="24" t="s">
        <v>24</v>
      </c>
      <c r="AA2" s="24"/>
      <c r="AB2" s="37" t="s">
        <v>25</v>
      </c>
      <c r="AC2" s="37"/>
      <c r="AD2" s="37" t="s">
        <v>26</v>
      </c>
      <c r="AE2" s="37"/>
      <c r="AF2" s="37" t="s">
        <v>27</v>
      </c>
      <c r="AG2" s="37"/>
      <c r="AH2" s="37" t="s">
        <v>28</v>
      </c>
      <c r="AI2" s="37"/>
      <c r="AJ2" s="37" t="s">
        <v>29</v>
      </c>
      <c r="AK2" s="37"/>
      <c r="AL2" s="37" t="s">
        <v>30</v>
      </c>
      <c r="AM2" s="37"/>
      <c r="AN2" s="37" t="s">
        <v>31</v>
      </c>
      <c r="AO2" s="37"/>
      <c r="AP2" s="37" t="s">
        <v>32</v>
      </c>
      <c r="AQ2" s="37"/>
      <c r="AR2" s="37" t="s">
        <v>33</v>
      </c>
      <c r="AS2" s="37"/>
      <c r="AT2" s="37" t="s">
        <v>34</v>
      </c>
      <c r="AU2" s="37"/>
      <c r="AV2" s="37" t="s">
        <v>35</v>
      </c>
      <c r="AW2" s="37"/>
      <c r="AX2" s="24" t="s">
        <v>24</v>
      </c>
      <c r="AY2" s="24"/>
      <c r="AZ2" s="37" t="s">
        <v>25</v>
      </c>
      <c r="BA2" s="37"/>
      <c r="BB2" s="37" t="s">
        <v>26</v>
      </c>
      <c r="BC2" s="37"/>
      <c r="BD2" s="37" t="s">
        <v>27</v>
      </c>
      <c r="BE2" s="37"/>
      <c r="BF2" s="37" t="s">
        <v>28</v>
      </c>
      <c r="BG2" s="37"/>
      <c r="BH2" s="37" t="s">
        <v>29</v>
      </c>
      <c r="BI2" s="37"/>
      <c r="BJ2" s="37" t="s">
        <v>30</v>
      </c>
      <c r="BK2" s="37"/>
      <c r="BL2" s="37" t="s">
        <v>31</v>
      </c>
      <c r="BM2" s="37"/>
      <c r="BN2" s="37" t="s">
        <v>32</v>
      </c>
      <c r="BO2" s="37"/>
      <c r="BP2" s="37" t="s">
        <v>33</v>
      </c>
      <c r="BQ2" s="37"/>
      <c r="BR2" s="37" t="s">
        <v>34</v>
      </c>
      <c r="BS2" s="37"/>
      <c r="BT2" s="37" t="s">
        <v>35</v>
      </c>
      <c r="BU2" s="37"/>
      <c r="BV2" s="24" t="s">
        <v>24</v>
      </c>
      <c r="BW2" s="24"/>
      <c r="BX2" s="37" t="s">
        <v>25</v>
      </c>
      <c r="BY2" s="37"/>
      <c r="BZ2" s="37" t="s">
        <v>26</v>
      </c>
      <c r="CA2" s="37"/>
      <c r="CB2" s="37" t="s">
        <v>27</v>
      </c>
      <c r="CC2" s="37"/>
      <c r="CD2" s="37" t="s">
        <v>28</v>
      </c>
      <c r="CE2" s="37"/>
      <c r="CF2" s="37" t="s">
        <v>29</v>
      </c>
      <c r="CG2" s="37"/>
      <c r="CH2" s="37" t="s">
        <v>30</v>
      </c>
      <c r="CI2" s="37"/>
      <c r="CJ2" s="37" t="s">
        <v>31</v>
      </c>
      <c r="CK2" s="37"/>
      <c r="CL2" s="37" t="s">
        <v>32</v>
      </c>
      <c r="CM2" s="37"/>
      <c r="CN2" s="37" t="s">
        <v>33</v>
      </c>
      <c r="CO2" s="37"/>
      <c r="CP2" s="37" t="s">
        <v>34</v>
      </c>
      <c r="CQ2" s="37"/>
      <c r="CR2" s="37" t="s">
        <v>35</v>
      </c>
      <c r="CS2" s="37"/>
      <c r="CT2" s="24" t="s">
        <v>24</v>
      </c>
      <c r="CU2" s="24"/>
      <c r="CV2" s="37" t="s">
        <v>25</v>
      </c>
      <c r="CW2" s="37"/>
      <c r="CX2" s="37" t="s">
        <v>26</v>
      </c>
      <c r="CY2" s="37"/>
      <c r="CZ2" s="37" t="s">
        <v>27</v>
      </c>
      <c r="DA2" s="37"/>
      <c r="DB2" s="37" t="s">
        <v>28</v>
      </c>
      <c r="DC2" s="37"/>
      <c r="DD2" s="37" t="s">
        <v>29</v>
      </c>
      <c r="DE2" s="37"/>
      <c r="DF2" s="37" t="s">
        <v>30</v>
      </c>
      <c r="DG2" s="37"/>
      <c r="DH2" s="37" t="s">
        <v>31</v>
      </c>
      <c r="DI2" s="37"/>
      <c r="DJ2" s="37" t="s">
        <v>32</v>
      </c>
      <c r="DK2" s="37"/>
      <c r="DL2" s="37" t="s">
        <v>33</v>
      </c>
      <c r="DM2" s="37"/>
      <c r="DN2" s="37" t="s">
        <v>34</v>
      </c>
      <c r="DO2" s="37"/>
      <c r="DP2" s="37" t="s">
        <v>35</v>
      </c>
      <c r="DQ2" s="37"/>
      <c r="DR2" s="24" t="s">
        <v>24</v>
      </c>
      <c r="DS2" s="24"/>
      <c r="DT2" s="37" t="s">
        <v>25</v>
      </c>
      <c r="DU2" s="37"/>
      <c r="DV2" s="37" t="s">
        <v>26</v>
      </c>
      <c r="DW2" s="37"/>
      <c r="DX2" s="37" t="s">
        <v>27</v>
      </c>
      <c r="DY2" s="37"/>
      <c r="DZ2" s="37" t="s">
        <v>28</v>
      </c>
      <c r="EA2" s="37"/>
      <c r="EB2" s="37" t="s">
        <v>29</v>
      </c>
      <c r="EC2" s="37"/>
      <c r="ED2" s="37" t="s">
        <v>30</v>
      </c>
      <c r="EE2" s="37"/>
      <c r="EF2" s="37" t="s">
        <v>31</v>
      </c>
      <c r="EG2" s="37"/>
      <c r="EH2" s="37" t="s">
        <v>32</v>
      </c>
      <c r="EI2" s="37"/>
      <c r="EJ2" s="37" t="s">
        <v>33</v>
      </c>
      <c r="EK2" s="37"/>
      <c r="EL2" s="37" t="s">
        <v>34</v>
      </c>
      <c r="EM2" s="37"/>
      <c r="EN2" s="37" t="s">
        <v>35</v>
      </c>
      <c r="EO2" s="37"/>
      <c r="EP2" s="24" t="s">
        <v>24</v>
      </c>
      <c r="EQ2" s="24"/>
      <c r="ER2" s="37" t="s">
        <v>25</v>
      </c>
      <c r="ES2" s="37"/>
      <c r="ET2" s="37" t="s">
        <v>26</v>
      </c>
      <c r="EU2" s="37"/>
      <c r="EV2" s="37" t="s">
        <v>27</v>
      </c>
      <c r="EW2" s="37"/>
      <c r="EX2" s="37" t="s">
        <v>28</v>
      </c>
      <c r="EY2" s="37"/>
      <c r="EZ2" s="37" t="s">
        <v>29</v>
      </c>
      <c r="FA2" s="37"/>
      <c r="FB2" s="37" t="s">
        <v>30</v>
      </c>
      <c r="FC2" s="37"/>
      <c r="FD2" s="37" t="s">
        <v>31</v>
      </c>
      <c r="FE2" s="37"/>
      <c r="FF2" s="37" t="s">
        <v>32</v>
      </c>
      <c r="FG2" s="37"/>
      <c r="FH2" s="37" t="s">
        <v>33</v>
      </c>
      <c r="FI2" s="37"/>
      <c r="FJ2" s="37" t="s">
        <v>34</v>
      </c>
      <c r="FK2" s="37"/>
      <c r="FL2" s="37" t="s">
        <v>35</v>
      </c>
      <c r="FM2" s="37"/>
      <c r="FN2" s="24" t="s">
        <v>24</v>
      </c>
      <c r="FO2" s="24"/>
      <c r="FP2" s="37" t="s">
        <v>25</v>
      </c>
      <c r="FQ2" s="37"/>
      <c r="FR2" s="37" t="s">
        <v>26</v>
      </c>
      <c r="FS2" s="37"/>
      <c r="FT2" s="37" t="s">
        <v>27</v>
      </c>
      <c r="FU2" s="37"/>
      <c r="FV2" s="37" t="s">
        <v>28</v>
      </c>
      <c r="FW2" s="37"/>
      <c r="FX2" s="37" t="s">
        <v>29</v>
      </c>
      <c r="FY2" s="37"/>
      <c r="FZ2" s="37" t="s">
        <v>30</v>
      </c>
      <c r="GA2" s="37"/>
      <c r="GB2" s="34"/>
      <c r="GC2" s="34"/>
      <c r="GD2" s="34"/>
      <c r="GE2" s="34"/>
      <c r="GF2" s="34"/>
      <c r="GG2" s="34"/>
      <c r="GH2" s="34"/>
      <c r="GI2" s="34"/>
      <c r="GJ2" s="34"/>
      <c r="GK2" s="34"/>
      <c r="GL2" s="34"/>
      <c r="GM2" s="35"/>
      <c r="GN2" s="35"/>
      <c r="GO2" s="35"/>
      <c r="GP2" s="34"/>
      <c r="GQ2" s="34"/>
      <c r="GR2" s="34"/>
      <c r="GS2" s="34"/>
      <c r="GT2" s="34"/>
      <c r="GU2" s="34"/>
      <c r="GV2" s="34"/>
      <c r="GW2" s="34"/>
      <c r="GX2" s="34"/>
      <c r="GY2" s="34"/>
      <c r="GZ2" s="34"/>
      <c r="HA2" s="34"/>
      <c r="HB2" s="34"/>
      <c r="HC2" s="34"/>
      <c r="HD2" s="34"/>
      <c r="HE2" s="34"/>
      <c r="HF2" s="34"/>
      <c r="HG2" s="34"/>
      <c r="HH2" s="34"/>
      <c r="HI2" s="34"/>
      <c r="HJ2" s="34"/>
      <c r="HK2" s="34"/>
      <c r="HL2" s="34"/>
      <c r="HM2" s="34"/>
      <c r="HN2" s="34"/>
      <c r="HO2" s="34"/>
      <c r="HP2" s="34"/>
      <c r="HQ2" s="34"/>
      <c r="HR2" s="34"/>
      <c r="HS2" s="34"/>
      <c r="HT2" s="34"/>
      <c r="HU2" s="34"/>
      <c r="HV2" s="34"/>
      <c r="HW2" s="35"/>
      <c r="HX2" s="35"/>
      <c r="HY2" s="35"/>
      <c r="HZ2" s="34"/>
      <c r="IA2" s="34"/>
      <c r="IB2" s="34"/>
      <c r="IC2" s="34"/>
      <c r="ID2" s="34"/>
      <c r="IE2" s="34"/>
      <c r="IF2" s="34"/>
      <c r="IG2" s="34"/>
      <c r="IH2" s="34"/>
      <c r="II2" s="34"/>
      <c r="IJ2" s="34"/>
      <c r="IK2" s="34"/>
      <c r="IL2" s="34"/>
      <c r="IM2" s="34"/>
      <c r="IN2" s="34"/>
      <c r="IO2" s="34"/>
      <c r="IP2" s="34"/>
      <c r="IQ2" s="34"/>
      <c r="IR2" s="34"/>
      <c r="IS2" s="34"/>
      <c r="IT2" s="34"/>
      <c r="IU2" s="34"/>
      <c r="IV2" s="34"/>
      <c r="IW2" s="34"/>
      <c r="IX2" s="34"/>
      <c r="IY2" s="34"/>
      <c r="IZ2" s="34"/>
      <c r="JA2" s="34"/>
      <c r="JB2" s="34"/>
      <c r="JC2" s="34"/>
      <c r="JD2" s="34"/>
      <c r="JE2" s="34"/>
      <c r="JF2" s="34"/>
    </row>
    <row r="3" spans="1:278" ht="31.5" x14ac:dyDescent="0.3">
      <c r="A3" s="38" t="s">
        <v>20</v>
      </c>
      <c r="B3" s="30" t="s">
        <v>45</v>
      </c>
      <c r="C3" s="30" t="s">
        <v>44</v>
      </c>
      <c r="D3" s="30" t="s">
        <v>45</v>
      </c>
      <c r="E3" s="30" t="s">
        <v>44</v>
      </c>
      <c r="F3" s="30" t="s">
        <v>45</v>
      </c>
      <c r="G3" s="30" t="s">
        <v>44</v>
      </c>
      <c r="H3" s="30" t="s">
        <v>45</v>
      </c>
      <c r="I3" s="30" t="s">
        <v>44</v>
      </c>
      <c r="J3" s="30" t="s">
        <v>45</v>
      </c>
      <c r="K3" s="30" t="s">
        <v>44</v>
      </c>
      <c r="L3" s="30" t="s">
        <v>45</v>
      </c>
      <c r="M3" s="30" t="s">
        <v>44</v>
      </c>
      <c r="N3" s="30" t="s">
        <v>45</v>
      </c>
      <c r="O3" s="30" t="s">
        <v>44</v>
      </c>
      <c r="P3" s="30" t="s">
        <v>45</v>
      </c>
      <c r="Q3" s="30" t="s">
        <v>44</v>
      </c>
      <c r="R3" s="30" t="s">
        <v>45</v>
      </c>
      <c r="S3" s="30" t="s">
        <v>44</v>
      </c>
      <c r="T3" s="30" t="s">
        <v>45</v>
      </c>
      <c r="U3" s="30" t="s">
        <v>44</v>
      </c>
      <c r="V3" s="30" t="s">
        <v>45</v>
      </c>
      <c r="W3" s="30" t="s">
        <v>44</v>
      </c>
      <c r="X3" s="30" t="s">
        <v>45</v>
      </c>
      <c r="Y3" s="30" t="s">
        <v>44</v>
      </c>
      <c r="Z3" s="30" t="s">
        <v>45</v>
      </c>
      <c r="AA3" s="30" t="s">
        <v>44</v>
      </c>
      <c r="AB3" s="30" t="s">
        <v>45</v>
      </c>
      <c r="AC3" s="30" t="s">
        <v>44</v>
      </c>
      <c r="AD3" s="30" t="s">
        <v>45</v>
      </c>
      <c r="AE3" s="30" t="s">
        <v>44</v>
      </c>
      <c r="AF3" s="30" t="s">
        <v>45</v>
      </c>
      <c r="AG3" s="30" t="s">
        <v>44</v>
      </c>
      <c r="AH3" s="30" t="s">
        <v>45</v>
      </c>
      <c r="AI3" s="30" t="s">
        <v>44</v>
      </c>
      <c r="AJ3" s="30" t="s">
        <v>45</v>
      </c>
      <c r="AK3" s="30" t="s">
        <v>44</v>
      </c>
      <c r="AL3" s="30" t="s">
        <v>45</v>
      </c>
      <c r="AM3" s="30" t="s">
        <v>44</v>
      </c>
      <c r="AN3" s="30" t="s">
        <v>45</v>
      </c>
      <c r="AO3" s="30" t="s">
        <v>44</v>
      </c>
      <c r="AP3" s="30" t="s">
        <v>45</v>
      </c>
      <c r="AQ3" s="30" t="s">
        <v>44</v>
      </c>
      <c r="AR3" s="30" t="s">
        <v>45</v>
      </c>
      <c r="AS3" s="30" t="s">
        <v>44</v>
      </c>
      <c r="AT3" s="30" t="s">
        <v>45</v>
      </c>
      <c r="AU3" s="30" t="s">
        <v>44</v>
      </c>
      <c r="AV3" s="30" t="s">
        <v>45</v>
      </c>
      <c r="AW3" s="30" t="s">
        <v>44</v>
      </c>
      <c r="AX3" s="30" t="s">
        <v>45</v>
      </c>
      <c r="AY3" s="30" t="s">
        <v>44</v>
      </c>
      <c r="AZ3" s="30" t="s">
        <v>45</v>
      </c>
      <c r="BA3" s="30" t="s">
        <v>44</v>
      </c>
      <c r="BB3" s="30" t="s">
        <v>45</v>
      </c>
      <c r="BC3" s="30" t="s">
        <v>44</v>
      </c>
      <c r="BD3" s="30" t="s">
        <v>45</v>
      </c>
      <c r="BE3" s="30" t="s">
        <v>44</v>
      </c>
      <c r="BF3" s="30" t="s">
        <v>45</v>
      </c>
      <c r="BG3" s="30" t="s">
        <v>44</v>
      </c>
      <c r="BH3" s="30" t="s">
        <v>45</v>
      </c>
      <c r="BI3" s="30" t="s">
        <v>44</v>
      </c>
      <c r="BJ3" s="30" t="s">
        <v>45</v>
      </c>
      <c r="BK3" s="30" t="s">
        <v>44</v>
      </c>
      <c r="BL3" s="30" t="s">
        <v>45</v>
      </c>
      <c r="BM3" s="30" t="s">
        <v>44</v>
      </c>
      <c r="BN3" s="30" t="s">
        <v>45</v>
      </c>
      <c r="BO3" s="30" t="s">
        <v>44</v>
      </c>
      <c r="BP3" s="30" t="s">
        <v>45</v>
      </c>
      <c r="BQ3" s="30" t="s">
        <v>44</v>
      </c>
      <c r="BR3" s="30" t="s">
        <v>45</v>
      </c>
      <c r="BS3" s="30" t="s">
        <v>44</v>
      </c>
      <c r="BT3" s="30" t="s">
        <v>45</v>
      </c>
      <c r="BU3" s="30" t="s">
        <v>44</v>
      </c>
      <c r="BV3" s="30" t="s">
        <v>45</v>
      </c>
      <c r="BW3" s="30" t="s">
        <v>44</v>
      </c>
      <c r="BX3" s="30" t="s">
        <v>45</v>
      </c>
      <c r="BY3" s="30" t="s">
        <v>44</v>
      </c>
      <c r="BZ3" s="30" t="s">
        <v>45</v>
      </c>
      <c r="CA3" s="30" t="s">
        <v>44</v>
      </c>
      <c r="CB3" s="30" t="s">
        <v>45</v>
      </c>
      <c r="CC3" s="30" t="s">
        <v>44</v>
      </c>
      <c r="CD3" s="30" t="s">
        <v>45</v>
      </c>
      <c r="CE3" s="30" t="s">
        <v>44</v>
      </c>
      <c r="CF3" s="30" t="s">
        <v>45</v>
      </c>
      <c r="CG3" s="30" t="s">
        <v>44</v>
      </c>
      <c r="CH3" s="30" t="s">
        <v>45</v>
      </c>
      <c r="CI3" s="30" t="s">
        <v>44</v>
      </c>
      <c r="CJ3" s="30" t="s">
        <v>45</v>
      </c>
      <c r="CK3" s="30" t="s">
        <v>44</v>
      </c>
      <c r="CL3" s="30" t="s">
        <v>45</v>
      </c>
      <c r="CM3" s="30" t="s">
        <v>44</v>
      </c>
      <c r="CN3" s="30" t="s">
        <v>45</v>
      </c>
      <c r="CO3" s="30" t="s">
        <v>44</v>
      </c>
      <c r="CP3" s="30" t="s">
        <v>45</v>
      </c>
      <c r="CQ3" s="30" t="s">
        <v>44</v>
      </c>
      <c r="CR3" s="30" t="s">
        <v>45</v>
      </c>
      <c r="CS3" s="30" t="s">
        <v>44</v>
      </c>
      <c r="CT3" s="30" t="s">
        <v>45</v>
      </c>
      <c r="CU3" s="30" t="s">
        <v>44</v>
      </c>
      <c r="CV3" s="30" t="s">
        <v>45</v>
      </c>
      <c r="CW3" s="30" t="s">
        <v>44</v>
      </c>
      <c r="CX3" s="30" t="s">
        <v>45</v>
      </c>
      <c r="CY3" s="30" t="s">
        <v>44</v>
      </c>
      <c r="CZ3" s="30" t="s">
        <v>45</v>
      </c>
      <c r="DA3" s="30" t="s">
        <v>44</v>
      </c>
      <c r="DB3" s="30" t="s">
        <v>45</v>
      </c>
      <c r="DC3" s="30" t="s">
        <v>44</v>
      </c>
      <c r="DD3" s="30" t="s">
        <v>45</v>
      </c>
      <c r="DE3" s="30" t="s">
        <v>44</v>
      </c>
      <c r="DF3" s="30" t="s">
        <v>45</v>
      </c>
      <c r="DG3" s="30" t="s">
        <v>44</v>
      </c>
      <c r="DH3" s="30" t="s">
        <v>45</v>
      </c>
      <c r="DI3" s="30" t="s">
        <v>44</v>
      </c>
      <c r="DJ3" s="30" t="s">
        <v>45</v>
      </c>
      <c r="DK3" s="30" t="s">
        <v>44</v>
      </c>
      <c r="DL3" s="30" t="s">
        <v>45</v>
      </c>
      <c r="DM3" s="30" t="s">
        <v>44</v>
      </c>
      <c r="DN3" s="30" t="s">
        <v>45</v>
      </c>
      <c r="DO3" s="30" t="s">
        <v>44</v>
      </c>
      <c r="DP3" s="30" t="s">
        <v>45</v>
      </c>
      <c r="DQ3" s="30" t="s">
        <v>44</v>
      </c>
      <c r="DR3" s="30" t="s">
        <v>45</v>
      </c>
      <c r="DS3" s="30" t="s">
        <v>44</v>
      </c>
      <c r="DT3" s="30" t="s">
        <v>45</v>
      </c>
      <c r="DU3" s="30" t="s">
        <v>44</v>
      </c>
      <c r="DV3" s="30" t="s">
        <v>45</v>
      </c>
      <c r="DW3" s="30" t="s">
        <v>44</v>
      </c>
      <c r="DX3" s="30" t="s">
        <v>45</v>
      </c>
      <c r="DY3" s="30" t="s">
        <v>44</v>
      </c>
      <c r="DZ3" s="30" t="s">
        <v>45</v>
      </c>
      <c r="EA3" s="30" t="s">
        <v>44</v>
      </c>
      <c r="EB3" s="30" t="s">
        <v>45</v>
      </c>
      <c r="EC3" s="30" t="s">
        <v>44</v>
      </c>
      <c r="ED3" s="30" t="s">
        <v>45</v>
      </c>
      <c r="EE3" s="30" t="s">
        <v>44</v>
      </c>
      <c r="EF3" s="30" t="s">
        <v>45</v>
      </c>
      <c r="EG3" s="30" t="s">
        <v>44</v>
      </c>
      <c r="EH3" s="30" t="s">
        <v>45</v>
      </c>
      <c r="EI3" s="30" t="s">
        <v>44</v>
      </c>
      <c r="EJ3" s="30" t="s">
        <v>45</v>
      </c>
      <c r="EK3" s="30" t="s">
        <v>44</v>
      </c>
      <c r="EL3" s="30" t="s">
        <v>45</v>
      </c>
      <c r="EM3" s="30" t="s">
        <v>44</v>
      </c>
      <c r="EN3" s="30" t="s">
        <v>45</v>
      </c>
      <c r="EO3" s="30" t="s">
        <v>44</v>
      </c>
      <c r="EP3" s="30" t="s">
        <v>45</v>
      </c>
      <c r="EQ3" s="30" t="s">
        <v>44</v>
      </c>
      <c r="ER3" s="30" t="s">
        <v>45</v>
      </c>
      <c r="ES3" s="30" t="s">
        <v>44</v>
      </c>
      <c r="ET3" s="30" t="s">
        <v>45</v>
      </c>
      <c r="EU3" s="30" t="s">
        <v>44</v>
      </c>
      <c r="EV3" s="30" t="s">
        <v>45</v>
      </c>
      <c r="EW3" s="30" t="s">
        <v>44</v>
      </c>
      <c r="EX3" s="30" t="s">
        <v>45</v>
      </c>
      <c r="EY3" s="30" t="s">
        <v>44</v>
      </c>
      <c r="EZ3" s="30" t="s">
        <v>45</v>
      </c>
      <c r="FA3" s="30" t="s">
        <v>44</v>
      </c>
      <c r="FB3" s="30" t="s">
        <v>45</v>
      </c>
      <c r="FC3" s="30" t="s">
        <v>44</v>
      </c>
      <c r="FD3" s="30" t="s">
        <v>45</v>
      </c>
      <c r="FE3" s="30" t="s">
        <v>44</v>
      </c>
      <c r="FF3" s="30" t="s">
        <v>45</v>
      </c>
      <c r="FG3" s="30" t="s">
        <v>44</v>
      </c>
      <c r="FH3" s="30" t="s">
        <v>45</v>
      </c>
      <c r="FI3" s="30" t="s">
        <v>44</v>
      </c>
      <c r="FJ3" s="30" t="s">
        <v>45</v>
      </c>
      <c r="FK3" s="30" t="s">
        <v>44</v>
      </c>
      <c r="FL3" s="30" t="s">
        <v>45</v>
      </c>
      <c r="FM3" s="30" t="s">
        <v>44</v>
      </c>
      <c r="FN3" s="30" t="s">
        <v>45</v>
      </c>
      <c r="FO3" s="30" t="s">
        <v>44</v>
      </c>
      <c r="FP3" s="30" t="s">
        <v>45</v>
      </c>
      <c r="FQ3" s="30" t="s">
        <v>44</v>
      </c>
      <c r="FR3" s="30" t="s">
        <v>45</v>
      </c>
      <c r="FS3" s="30" t="s">
        <v>44</v>
      </c>
      <c r="FT3" s="30" t="s">
        <v>45</v>
      </c>
      <c r="FU3" s="30" t="s">
        <v>44</v>
      </c>
      <c r="FV3" s="30" t="s">
        <v>45</v>
      </c>
      <c r="FW3" s="30" t="s">
        <v>44</v>
      </c>
      <c r="FX3" s="30" t="s">
        <v>45</v>
      </c>
      <c r="FY3" s="30" t="s">
        <v>44</v>
      </c>
      <c r="FZ3" s="30" t="s">
        <v>45</v>
      </c>
      <c r="GA3" s="30" t="s">
        <v>44</v>
      </c>
      <c r="GB3" s="39"/>
      <c r="GC3" s="39"/>
      <c r="GD3" s="39"/>
      <c r="GE3" s="39"/>
      <c r="GF3" s="39"/>
      <c r="GG3" s="39"/>
      <c r="GH3" s="39"/>
      <c r="GI3" s="39"/>
      <c r="GJ3" s="39"/>
      <c r="GK3" s="39"/>
      <c r="GL3" s="39"/>
      <c r="GM3" s="39"/>
      <c r="GN3" s="39"/>
      <c r="GO3" s="39"/>
      <c r="GP3" s="39"/>
      <c r="GQ3" s="39"/>
      <c r="GR3" s="39"/>
      <c r="GS3" s="39"/>
      <c r="GT3" s="39"/>
      <c r="GU3" s="39"/>
      <c r="GV3" s="39"/>
      <c r="GW3" s="39"/>
      <c r="GX3" s="39"/>
      <c r="GY3" s="39"/>
      <c r="GZ3" s="39"/>
      <c r="HA3" s="39"/>
      <c r="HB3" s="39"/>
      <c r="HC3" s="39"/>
      <c r="HD3" s="39"/>
      <c r="HE3" s="39"/>
      <c r="HF3" s="39"/>
      <c r="HG3" s="39"/>
      <c r="HH3" s="39"/>
      <c r="HI3" s="39"/>
      <c r="HJ3" s="39"/>
      <c r="HK3" s="39"/>
      <c r="HL3" s="39"/>
      <c r="HM3" s="39"/>
      <c r="HN3" s="39"/>
      <c r="HO3" s="39"/>
      <c r="HP3" s="39"/>
      <c r="HQ3" s="39"/>
      <c r="HR3" s="39"/>
      <c r="HS3" s="39"/>
      <c r="HT3" s="39"/>
      <c r="HU3" s="39"/>
      <c r="HV3" s="39"/>
      <c r="HW3" s="39"/>
      <c r="HX3" s="39"/>
      <c r="HY3" s="39"/>
      <c r="HZ3" s="39"/>
      <c r="IA3" s="39"/>
      <c r="IB3" s="39"/>
      <c r="IC3" s="39"/>
      <c r="ID3" s="39"/>
      <c r="IE3" s="39"/>
      <c r="IF3" s="39"/>
      <c r="IG3" s="39"/>
      <c r="IH3" s="39"/>
      <c r="II3" s="39"/>
      <c r="IJ3" s="39"/>
      <c r="IK3" s="39"/>
      <c r="IL3" s="39"/>
      <c r="IM3" s="39"/>
      <c r="IN3" s="39"/>
      <c r="IO3" s="39"/>
      <c r="IP3" s="39"/>
      <c r="IQ3" s="39"/>
      <c r="IR3" s="39"/>
      <c r="IS3" s="39"/>
      <c r="IT3" s="39"/>
      <c r="IU3" s="39"/>
      <c r="IV3" s="39"/>
      <c r="IW3" s="39"/>
      <c r="IX3" s="39"/>
      <c r="IY3" s="39"/>
      <c r="IZ3" s="39"/>
      <c r="JA3" s="39"/>
      <c r="JB3" s="39"/>
      <c r="JC3" s="39"/>
      <c r="JD3" s="39"/>
      <c r="JE3" s="39"/>
      <c r="JF3" s="39"/>
      <c r="JG3" s="39"/>
      <c r="JH3" s="39"/>
      <c r="JI3" s="39"/>
      <c r="JJ3" s="39"/>
      <c r="JK3" s="39"/>
      <c r="JL3" s="39"/>
      <c r="JM3" s="39"/>
      <c r="JN3" s="39"/>
      <c r="JO3" s="39"/>
      <c r="JP3" s="39"/>
      <c r="JQ3" s="39"/>
      <c r="JR3" s="39"/>
    </row>
    <row r="4" spans="1:278" x14ac:dyDescent="0.3">
      <c r="A4" s="36" t="s">
        <v>17</v>
      </c>
      <c r="B4" s="25"/>
      <c r="C4" s="25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5"/>
      <c r="AL4" s="25"/>
      <c r="AM4" s="25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5"/>
      <c r="BV4" s="25"/>
      <c r="BW4" s="25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>
        <v>8.1</v>
      </c>
      <c r="CU4" s="26">
        <v>8</v>
      </c>
      <c r="CV4" s="26">
        <v>7.9</v>
      </c>
      <c r="CW4" s="26">
        <v>11.7</v>
      </c>
      <c r="CX4" s="26">
        <v>7.9</v>
      </c>
      <c r="CY4" s="26">
        <v>11.7</v>
      </c>
      <c r="CZ4" s="26">
        <v>8.6999999999999993</v>
      </c>
      <c r="DA4" s="26">
        <v>9.3000000000000007</v>
      </c>
      <c r="DB4" s="26">
        <v>7.5</v>
      </c>
      <c r="DC4" s="26">
        <v>7</v>
      </c>
      <c r="DD4" s="26">
        <v>7.6</v>
      </c>
      <c r="DE4" s="26">
        <v>7.6</v>
      </c>
      <c r="DF4" s="26">
        <v>4.8</v>
      </c>
      <c r="DG4" s="26">
        <v>2.9</v>
      </c>
      <c r="DH4" s="26">
        <v>8.8000000000000007</v>
      </c>
      <c r="DI4" s="26">
        <v>3.6</v>
      </c>
      <c r="DJ4" s="26">
        <v>8.4</v>
      </c>
      <c r="DK4" s="26">
        <v>8.3000000000000007</v>
      </c>
      <c r="DL4" s="26">
        <v>13.2</v>
      </c>
      <c r="DM4" s="26">
        <v>19</v>
      </c>
      <c r="DN4" s="26">
        <v>12.1</v>
      </c>
      <c r="DO4" s="26">
        <v>14</v>
      </c>
      <c r="DP4" s="26">
        <v>7.8</v>
      </c>
      <c r="DQ4" s="26">
        <v>5.7</v>
      </c>
      <c r="DR4" s="26">
        <v>8.4</v>
      </c>
      <c r="DS4" s="26">
        <v>9.3000000000000007</v>
      </c>
      <c r="DT4" s="26">
        <v>6.8</v>
      </c>
      <c r="DU4" s="26">
        <v>5.8</v>
      </c>
      <c r="DV4" s="26">
        <v>10.5</v>
      </c>
      <c r="DW4" s="26">
        <v>9.1</v>
      </c>
      <c r="DX4" s="26">
        <v>6.4</v>
      </c>
      <c r="DY4" s="26">
        <v>8.6</v>
      </c>
      <c r="DZ4" s="26">
        <v>9.8000000000000007</v>
      </c>
      <c r="EA4" s="26">
        <v>7.7</v>
      </c>
      <c r="EB4" s="26">
        <v>8</v>
      </c>
      <c r="EC4" s="26">
        <v>8.6</v>
      </c>
      <c r="ED4" s="26">
        <v>7.7</v>
      </c>
      <c r="EE4" s="26">
        <v>5.0999999999999996</v>
      </c>
      <c r="EF4" s="26">
        <v>9.3000000000000007</v>
      </c>
      <c r="EG4" s="26">
        <v>8</v>
      </c>
      <c r="EH4" s="26">
        <v>6</v>
      </c>
      <c r="EI4" s="26">
        <v>11.2</v>
      </c>
      <c r="EJ4" s="26">
        <v>7</v>
      </c>
      <c r="EK4" s="26">
        <v>7.9</v>
      </c>
      <c r="EL4" s="26">
        <v>7.3</v>
      </c>
      <c r="EM4" s="26">
        <v>8.6999999999999993</v>
      </c>
      <c r="EN4" s="26">
        <v>8.1</v>
      </c>
      <c r="EO4" s="26">
        <v>8.1</v>
      </c>
      <c r="EP4" s="26">
        <v>6.9</v>
      </c>
      <c r="EQ4" s="26">
        <v>6.6</v>
      </c>
      <c r="ER4" s="26">
        <v>9</v>
      </c>
      <c r="ES4" s="26">
        <v>6.4</v>
      </c>
      <c r="ET4" s="26">
        <v>7.9</v>
      </c>
      <c r="EU4" s="26">
        <v>6.9</v>
      </c>
      <c r="EV4" s="26">
        <v>7.9</v>
      </c>
      <c r="EW4" s="26">
        <v>9.1</v>
      </c>
      <c r="EX4" s="26">
        <v>7.7</v>
      </c>
      <c r="EY4" s="26">
        <v>6.3</v>
      </c>
      <c r="EZ4" s="26">
        <v>7.7</v>
      </c>
      <c r="FA4" s="26">
        <v>7.3</v>
      </c>
      <c r="FB4" s="26">
        <v>7</v>
      </c>
      <c r="FC4" s="26">
        <v>5.9</v>
      </c>
      <c r="FD4" s="26">
        <v>6.7</v>
      </c>
      <c r="FE4" s="26">
        <v>6.9</v>
      </c>
      <c r="FF4" s="26">
        <v>6.7</v>
      </c>
      <c r="FG4" s="26">
        <v>8.4</v>
      </c>
      <c r="FH4" s="26">
        <v>7.3</v>
      </c>
      <c r="FI4" s="26">
        <v>8</v>
      </c>
      <c r="FJ4" s="26">
        <v>5.7</v>
      </c>
      <c r="FK4" s="26">
        <v>6.5</v>
      </c>
      <c r="FL4" s="26">
        <v>11</v>
      </c>
      <c r="FM4" s="26">
        <v>12.6</v>
      </c>
      <c r="FN4" s="26">
        <v>8.1</v>
      </c>
      <c r="FO4" s="26">
        <v>8</v>
      </c>
      <c r="FP4" s="26">
        <v>8.1999999999999993</v>
      </c>
      <c r="FQ4" s="26">
        <v>6.4</v>
      </c>
      <c r="FR4" s="26">
        <v>7.2</v>
      </c>
      <c r="FS4" s="26">
        <v>6.4</v>
      </c>
      <c r="FT4" s="40">
        <v>7.01</v>
      </c>
      <c r="FU4" s="40">
        <v>6.85</v>
      </c>
      <c r="FV4" s="26">
        <v>7.2</v>
      </c>
      <c r="FW4" s="26">
        <v>6.2</v>
      </c>
      <c r="FX4" s="26">
        <v>8.4</v>
      </c>
      <c r="FY4" s="26">
        <v>12.4</v>
      </c>
      <c r="FZ4" s="26">
        <v>4.2</v>
      </c>
      <c r="GA4" s="26">
        <v>2.4</v>
      </c>
    </row>
    <row r="5" spans="1:278" x14ac:dyDescent="0.3">
      <c r="A5" s="36" t="s">
        <v>0</v>
      </c>
      <c r="B5" s="41">
        <v>11.700756965694959</v>
      </c>
      <c r="C5" s="25">
        <v>12.6</v>
      </c>
      <c r="D5" s="26">
        <v>9.6</v>
      </c>
      <c r="E5" s="26">
        <v>9.8000000000000007</v>
      </c>
      <c r="F5" s="26">
        <v>7.1</v>
      </c>
      <c r="G5" s="26">
        <v>6.4</v>
      </c>
      <c r="H5" s="26">
        <v>10.3</v>
      </c>
      <c r="I5" s="26">
        <v>11</v>
      </c>
      <c r="J5" s="26">
        <v>8.6</v>
      </c>
      <c r="K5" s="26">
        <v>9.5</v>
      </c>
      <c r="L5" s="26">
        <v>10.199999999999999</v>
      </c>
      <c r="M5" s="26">
        <v>12.8</v>
      </c>
      <c r="N5" s="26">
        <v>8.6</v>
      </c>
      <c r="O5" s="26">
        <v>6.2</v>
      </c>
      <c r="P5" s="26">
        <v>9.5</v>
      </c>
      <c r="Q5" s="26">
        <v>1.6</v>
      </c>
      <c r="R5" s="26">
        <v>7.4</v>
      </c>
      <c r="S5" s="26">
        <v>10.4</v>
      </c>
      <c r="T5" s="26">
        <v>9.8000000000000007</v>
      </c>
      <c r="U5" s="26">
        <v>4.8</v>
      </c>
      <c r="V5" s="26">
        <v>7.7</v>
      </c>
      <c r="W5" s="26">
        <v>5.0999999999999996</v>
      </c>
      <c r="X5" s="26">
        <v>4.9000000000000004</v>
      </c>
      <c r="Y5" s="26">
        <v>5.0999999999999996</v>
      </c>
      <c r="Z5" s="26">
        <v>8.1999999999999993</v>
      </c>
      <c r="AA5" s="26">
        <v>6</v>
      </c>
      <c r="AB5" s="26">
        <v>9.9</v>
      </c>
      <c r="AC5" s="26">
        <v>9.3000000000000007</v>
      </c>
      <c r="AD5" s="26">
        <v>7.9</v>
      </c>
      <c r="AE5" s="26">
        <v>8.1999999999999993</v>
      </c>
      <c r="AF5" s="26">
        <v>1.9</v>
      </c>
      <c r="AG5" s="26">
        <v>1.9</v>
      </c>
      <c r="AH5" s="26">
        <v>10</v>
      </c>
      <c r="AI5" s="26">
        <v>14.7</v>
      </c>
      <c r="AJ5" s="26">
        <v>9.6</v>
      </c>
      <c r="AK5" s="25">
        <v>14.2</v>
      </c>
      <c r="AL5" s="25">
        <v>4.5999999999999996</v>
      </c>
      <c r="AM5" s="25">
        <v>4.4000000000000004</v>
      </c>
      <c r="AN5" s="26">
        <v>11.3</v>
      </c>
      <c r="AO5" s="26">
        <v>4.9000000000000004</v>
      </c>
      <c r="AP5" s="26">
        <v>9.8000000000000007</v>
      </c>
      <c r="AQ5" s="26">
        <v>2.5</v>
      </c>
      <c r="AR5" s="26">
        <v>9.8000000000000007</v>
      </c>
      <c r="AS5" s="26">
        <v>12.8</v>
      </c>
      <c r="AT5" s="26">
        <v>11.5</v>
      </c>
      <c r="AU5" s="26">
        <v>18.100000000000001</v>
      </c>
      <c r="AV5" s="26">
        <v>4.7</v>
      </c>
      <c r="AW5" s="26">
        <v>9.3000000000000007</v>
      </c>
      <c r="AX5" s="26">
        <v>5.9</v>
      </c>
      <c r="AY5" s="26">
        <v>5.0999999999999996</v>
      </c>
      <c r="AZ5" s="26">
        <v>6.7</v>
      </c>
      <c r="BA5" s="26">
        <v>6.3</v>
      </c>
      <c r="BB5" s="26">
        <v>6.4</v>
      </c>
      <c r="BC5" s="26">
        <v>7.7</v>
      </c>
      <c r="BD5" s="26">
        <v>8.8000000000000007</v>
      </c>
      <c r="BE5" s="26">
        <v>11</v>
      </c>
      <c r="BF5" s="26">
        <v>7.2</v>
      </c>
      <c r="BG5" s="26">
        <v>9.1999999999999993</v>
      </c>
      <c r="BH5" s="26">
        <v>11.2</v>
      </c>
      <c r="BI5" s="26">
        <v>11.1</v>
      </c>
      <c r="BJ5" s="26">
        <v>6.3</v>
      </c>
      <c r="BK5" s="26">
        <v>6.1</v>
      </c>
      <c r="BL5" s="26">
        <v>8.1</v>
      </c>
      <c r="BM5" s="26">
        <v>1.8</v>
      </c>
      <c r="BN5" s="26">
        <v>8.4</v>
      </c>
      <c r="BO5" s="26">
        <v>1.8</v>
      </c>
      <c r="BP5" s="26">
        <v>7.2</v>
      </c>
      <c r="BQ5" s="26">
        <v>6.1</v>
      </c>
      <c r="BR5" s="26">
        <v>7.4</v>
      </c>
      <c r="BS5" s="26">
        <v>5.9</v>
      </c>
      <c r="BT5" s="26">
        <v>9.9</v>
      </c>
      <c r="BU5" s="26">
        <v>10.4</v>
      </c>
      <c r="BV5" s="26">
        <v>6</v>
      </c>
      <c r="BW5" s="26">
        <v>4.5999999999999996</v>
      </c>
      <c r="BX5" s="26">
        <v>9.6999999999999993</v>
      </c>
      <c r="BY5" s="26">
        <v>10</v>
      </c>
      <c r="BZ5" s="26">
        <v>7</v>
      </c>
      <c r="CA5" s="26">
        <v>8</v>
      </c>
      <c r="CB5" s="26">
        <v>9.4</v>
      </c>
      <c r="CC5" s="26">
        <v>13.3</v>
      </c>
      <c r="CD5" s="26">
        <v>7.7</v>
      </c>
      <c r="CE5" s="26">
        <v>11.7</v>
      </c>
      <c r="CF5" s="26">
        <v>8.4</v>
      </c>
      <c r="CG5" s="26">
        <v>12.4</v>
      </c>
      <c r="CH5" s="26">
        <v>9.5</v>
      </c>
      <c r="CI5" s="26">
        <v>4.0999999999999996</v>
      </c>
      <c r="CJ5" s="26">
        <v>9.8000000000000007</v>
      </c>
      <c r="CK5" s="26">
        <v>1.9</v>
      </c>
      <c r="CL5" s="26">
        <v>8.8000000000000007</v>
      </c>
      <c r="CM5" s="26">
        <v>1.7</v>
      </c>
      <c r="CN5" s="26">
        <v>7.2</v>
      </c>
      <c r="CO5" s="26">
        <v>3.4</v>
      </c>
      <c r="CP5" s="26">
        <v>8</v>
      </c>
      <c r="CQ5" s="26">
        <v>8.1</v>
      </c>
      <c r="CR5" s="26">
        <v>6.9</v>
      </c>
      <c r="CS5" s="26">
        <v>12.3</v>
      </c>
      <c r="CT5" s="26">
        <v>8.5</v>
      </c>
      <c r="CU5" s="26">
        <v>10.199999999999999</v>
      </c>
      <c r="CV5" s="26">
        <v>7.9</v>
      </c>
      <c r="CW5" s="26">
        <v>8.9</v>
      </c>
      <c r="CX5" s="26">
        <v>7.9</v>
      </c>
      <c r="CY5" s="26">
        <v>8.9</v>
      </c>
      <c r="CZ5" s="26">
        <v>10.3</v>
      </c>
      <c r="DA5" s="26">
        <v>13.6</v>
      </c>
      <c r="DB5" s="26">
        <v>8.3000000000000007</v>
      </c>
      <c r="DC5" s="26">
        <v>11</v>
      </c>
      <c r="DD5" s="26">
        <v>8.3000000000000007</v>
      </c>
      <c r="DE5" s="26">
        <v>11.7</v>
      </c>
      <c r="DF5" s="26">
        <v>8.6999999999999993</v>
      </c>
      <c r="DG5" s="26">
        <v>4.0999999999999996</v>
      </c>
      <c r="DH5" s="26">
        <v>8.1999999999999993</v>
      </c>
      <c r="DI5" s="26">
        <v>2.5</v>
      </c>
      <c r="DJ5" s="26">
        <v>7.4</v>
      </c>
      <c r="DK5" s="26">
        <v>8.1</v>
      </c>
      <c r="DL5" s="26">
        <v>8</v>
      </c>
      <c r="DM5" s="26">
        <v>8.3000000000000007</v>
      </c>
      <c r="DN5" s="26">
        <v>12.1</v>
      </c>
      <c r="DO5" s="26">
        <v>10.7</v>
      </c>
      <c r="DP5" s="26">
        <v>7.3</v>
      </c>
      <c r="DQ5" s="26">
        <v>7.3</v>
      </c>
      <c r="DR5" s="26">
        <v>8.1</v>
      </c>
      <c r="DS5" s="26">
        <v>8.4</v>
      </c>
      <c r="DT5" s="26">
        <v>7.4</v>
      </c>
      <c r="DU5" s="26">
        <v>7.4</v>
      </c>
      <c r="DV5" s="26">
        <v>7</v>
      </c>
      <c r="DW5" s="26">
        <v>7</v>
      </c>
      <c r="DX5" s="26">
        <v>8.6</v>
      </c>
      <c r="DY5" s="26">
        <v>11.6</v>
      </c>
      <c r="DZ5" s="26">
        <v>7.1</v>
      </c>
      <c r="EA5" s="26">
        <v>8.6</v>
      </c>
      <c r="EB5" s="26">
        <v>7.9</v>
      </c>
      <c r="EC5" s="26">
        <v>7.2</v>
      </c>
      <c r="ED5" s="26">
        <v>8.6</v>
      </c>
      <c r="EE5" s="26">
        <v>7.9</v>
      </c>
      <c r="EF5" s="26">
        <v>8</v>
      </c>
      <c r="EG5" s="26">
        <v>8.1999999999999993</v>
      </c>
      <c r="EH5" s="26">
        <v>6.9</v>
      </c>
      <c r="EI5" s="26">
        <v>6.9</v>
      </c>
      <c r="EJ5" s="26">
        <v>6.6</v>
      </c>
      <c r="EK5" s="26">
        <v>6.8</v>
      </c>
      <c r="EL5" s="26">
        <v>6.4</v>
      </c>
      <c r="EM5" s="26">
        <v>8</v>
      </c>
      <c r="EN5" s="26">
        <v>6.9</v>
      </c>
      <c r="EO5" s="26">
        <v>6.5</v>
      </c>
      <c r="EP5" s="26">
        <v>8.6999999999999993</v>
      </c>
      <c r="EQ5" s="26">
        <v>7.4</v>
      </c>
      <c r="ER5" s="26">
        <v>8.4</v>
      </c>
      <c r="ES5" s="26">
        <v>7.3</v>
      </c>
      <c r="ET5" s="26">
        <v>7.2</v>
      </c>
      <c r="EU5" s="26">
        <v>7.6</v>
      </c>
      <c r="EV5" s="26">
        <v>9.1999999999999993</v>
      </c>
      <c r="EW5" s="26">
        <v>10.5</v>
      </c>
      <c r="EX5" s="26">
        <v>7.8</v>
      </c>
      <c r="EY5" s="26">
        <v>7</v>
      </c>
      <c r="EZ5" s="26">
        <v>8.3000000000000007</v>
      </c>
      <c r="FA5" s="26">
        <v>4</v>
      </c>
      <c r="FB5" s="26">
        <v>8.6999999999999993</v>
      </c>
      <c r="FC5" s="26">
        <v>7.7</v>
      </c>
      <c r="FD5" s="26">
        <v>9.4</v>
      </c>
      <c r="FE5" s="26">
        <v>8.9</v>
      </c>
      <c r="FF5" s="26">
        <v>7.6</v>
      </c>
      <c r="FG5" s="26">
        <v>7.4</v>
      </c>
      <c r="FH5" s="26">
        <v>7.9</v>
      </c>
      <c r="FI5" s="26">
        <v>10</v>
      </c>
      <c r="FJ5" s="26">
        <v>6.2</v>
      </c>
      <c r="FK5" s="26">
        <v>5.7</v>
      </c>
      <c r="FL5" s="26">
        <v>4.2</v>
      </c>
      <c r="FM5" s="26">
        <v>7.3</v>
      </c>
      <c r="FN5" s="26">
        <v>8.5</v>
      </c>
      <c r="FO5" s="26">
        <v>8.1999999999999993</v>
      </c>
      <c r="FP5" s="26">
        <v>9</v>
      </c>
      <c r="FQ5" s="26">
        <v>7.3</v>
      </c>
      <c r="FR5" s="26">
        <v>7.2</v>
      </c>
      <c r="FS5" s="26">
        <v>7.6</v>
      </c>
      <c r="FT5" s="40">
        <v>6.27</v>
      </c>
      <c r="FU5" s="40">
        <v>6.52</v>
      </c>
      <c r="FV5" s="26">
        <v>7.8</v>
      </c>
      <c r="FW5" s="26">
        <v>7</v>
      </c>
      <c r="FX5" s="26">
        <v>8.6</v>
      </c>
      <c r="FY5" s="26">
        <v>8.9</v>
      </c>
      <c r="FZ5" s="26">
        <v>8.6999999999999993</v>
      </c>
      <c r="GA5" s="26">
        <v>4.0999999999999996</v>
      </c>
    </row>
    <row r="6" spans="1:278" x14ac:dyDescent="0.3">
      <c r="A6" s="36" t="s">
        <v>1</v>
      </c>
      <c r="B6" s="41">
        <v>9.4294967613353258</v>
      </c>
      <c r="C6" s="25">
        <v>8.9</v>
      </c>
      <c r="D6" s="26">
        <v>8.6999999999999993</v>
      </c>
      <c r="E6" s="26">
        <v>8.1999999999999993</v>
      </c>
      <c r="F6" s="26">
        <v>7.9</v>
      </c>
      <c r="G6" s="26">
        <v>6.9</v>
      </c>
      <c r="H6" s="26">
        <v>9.8000000000000007</v>
      </c>
      <c r="I6" s="26">
        <v>9.9</v>
      </c>
      <c r="J6" s="26">
        <v>8.8000000000000007</v>
      </c>
      <c r="K6" s="26">
        <v>9.5</v>
      </c>
      <c r="L6" s="26">
        <v>8</v>
      </c>
      <c r="M6" s="26">
        <v>12.7</v>
      </c>
      <c r="N6" s="26">
        <v>8.3000000000000007</v>
      </c>
      <c r="O6" s="26">
        <v>3.1</v>
      </c>
      <c r="P6" s="26">
        <v>9.3000000000000007</v>
      </c>
      <c r="Q6" s="26">
        <v>0.1</v>
      </c>
      <c r="R6" s="26">
        <v>7.9</v>
      </c>
      <c r="S6" s="26">
        <v>19.899999999999999</v>
      </c>
      <c r="T6" s="26">
        <v>8.6999999999999993</v>
      </c>
      <c r="U6" s="26">
        <v>3.6</v>
      </c>
      <c r="V6" s="26">
        <v>8.1</v>
      </c>
      <c r="W6" s="26">
        <v>6.8</v>
      </c>
      <c r="X6" s="26">
        <v>3.9</v>
      </c>
      <c r="Y6" s="26">
        <v>7.6</v>
      </c>
      <c r="Z6" s="26">
        <v>8.1999999999999993</v>
      </c>
      <c r="AA6" s="26">
        <v>7.2</v>
      </c>
      <c r="AB6" s="26">
        <v>8.5</v>
      </c>
      <c r="AC6" s="26">
        <v>9.4</v>
      </c>
      <c r="AD6" s="26">
        <v>6.2</v>
      </c>
      <c r="AE6" s="26">
        <v>4.8</v>
      </c>
      <c r="AF6" s="26">
        <v>0.1</v>
      </c>
      <c r="AG6" s="26">
        <v>0.1</v>
      </c>
      <c r="AH6" s="26">
        <v>8.3000000000000007</v>
      </c>
      <c r="AI6" s="26">
        <v>9.1</v>
      </c>
      <c r="AJ6" s="26">
        <v>5.8</v>
      </c>
      <c r="AK6" s="25">
        <v>13.8</v>
      </c>
      <c r="AL6" s="25">
        <v>3.9</v>
      </c>
      <c r="AM6" s="25">
        <v>0.6</v>
      </c>
      <c r="AN6" s="26">
        <v>10.1</v>
      </c>
      <c r="AO6" s="26">
        <v>0.1</v>
      </c>
      <c r="AP6" s="26">
        <v>11.3</v>
      </c>
      <c r="AQ6" s="26">
        <v>0.4</v>
      </c>
      <c r="AR6" s="26">
        <v>10.9</v>
      </c>
      <c r="AS6" s="26">
        <v>23.9</v>
      </c>
      <c r="AT6" s="26">
        <v>10.5</v>
      </c>
      <c r="AU6" s="26">
        <v>16.7</v>
      </c>
      <c r="AV6" s="26">
        <v>8.6</v>
      </c>
      <c r="AW6" s="26">
        <v>13.2</v>
      </c>
      <c r="AX6" s="26">
        <v>7.4</v>
      </c>
      <c r="AY6" s="26">
        <v>8.5</v>
      </c>
      <c r="AZ6" s="26">
        <v>7.2</v>
      </c>
      <c r="BA6" s="26">
        <v>6.3</v>
      </c>
      <c r="BB6" s="26">
        <v>7.2</v>
      </c>
      <c r="BC6" s="26">
        <v>7.5</v>
      </c>
      <c r="BD6" s="26">
        <v>8.5</v>
      </c>
      <c r="BE6" s="26">
        <v>13.8</v>
      </c>
      <c r="BF6" s="26">
        <v>8.1999999999999993</v>
      </c>
      <c r="BG6" s="26">
        <v>11.2</v>
      </c>
      <c r="BH6" s="26">
        <v>8.8000000000000007</v>
      </c>
      <c r="BI6" s="26">
        <v>9.9</v>
      </c>
      <c r="BJ6" s="26">
        <v>6.6</v>
      </c>
      <c r="BK6" s="26">
        <v>1.7</v>
      </c>
      <c r="BL6" s="26">
        <v>5.5</v>
      </c>
      <c r="BM6" s="26">
        <v>0</v>
      </c>
      <c r="BN6" s="26">
        <v>8.1999999999999993</v>
      </c>
      <c r="BO6" s="26">
        <v>0.1</v>
      </c>
      <c r="BP6" s="26">
        <v>9.4</v>
      </c>
      <c r="BQ6" s="26">
        <v>17</v>
      </c>
      <c r="BR6" s="26">
        <v>7.4</v>
      </c>
      <c r="BS6" s="26">
        <v>9.6999999999999993</v>
      </c>
      <c r="BT6" s="26">
        <v>8.6999999999999993</v>
      </c>
      <c r="BU6" s="26">
        <v>11.4</v>
      </c>
      <c r="BV6" s="26">
        <v>6.8</v>
      </c>
      <c r="BW6" s="26">
        <v>7.3</v>
      </c>
      <c r="BX6" s="26">
        <v>10.199999999999999</v>
      </c>
      <c r="BY6" s="26">
        <v>10.9</v>
      </c>
      <c r="BZ6" s="26">
        <v>7.6</v>
      </c>
      <c r="CA6" s="26">
        <v>6.8</v>
      </c>
      <c r="CB6" s="26">
        <v>9.6</v>
      </c>
      <c r="CC6" s="26">
        <v>13.8</v>
      </c>
      <c r="CD6" s="26">
        <v>8.1999999999999993</v>
      </c>
      <c r="CE6" s="26">
        <v>10</v>
      </c>
      <c r="CF6" s="26">
        <v>8.6</v>
      </c>
      <c r="CG6" s="26">
        <v>8.9</v>
      </c>
      <c r="CH6" s="26">
        <v>8.1999999999999993</v>
      </c>
      <c r="CI6" s="26">
        <v>1.8</v>
      </c>
      <c r="CJ6" s="26">
        <v>8.9</v>
      </c>
      <c r="CK6" s="26">
        <v>0.1</v>
      </c>
      <c r="CL6" s="26">
        <v>9</v>
      </c>
      <c r="CM6" s="26">
        <v>0.1</v>
      </c>
      <c r="CN6" s="26">
        <v>6.9</v>
      </c>
      <c r="CO6" s="26">
        <v>11.7</v>
      </c>
      <c r="CP6" s="26">
        <v>7.4</v>
      </c>
      <c r="CQ6" s="26">
        <v>14.2</v>
      </c>
      <c r="CR6" s="26">
        <v>4.9000000000000004</v>
      </c>
      <c r="CS6" s="26">
        <v>10.7</v>
      </c>
      <c r="CT6" s="26">
        <v>7.6</v>
      </c>
      <c r="CU6" s="26">
        <v>8.1999999999999993</v>
      </c>
      <c r="CV6" s="26">
        <v>8.1999999999999993</v>
      </c>
      <c r="CW6" s="26">
        <v>9.8000000000000007</v>
      </c>
      <c r="CX6" s="26">
        <v>8.1999999999999993</v>
      </c>
      <c r="CY6" s="26">
        <v>9.8000000000000007</v>
      </c>
      <c r="CZ6" s="26">
        <v>8.9</v>
      </c>
      <c r="DA6" s="26">
        <v>11.3</v>
      </c>
      <c r="DB6" s="26">
        <v>7.6</v>
      </c>
      <c r="DC6" s="26">
        <v>8.6</v>
      </c>
      <c r="DD6" s="26">
        <v>9.1999999999999993</v>
      </c>
      <c r="DE6" s="26">
        <v>7.5</v>
      </c>
      <c r="DF6" s="26">
        <v>9.5</v>
      </c>
      <c r="DG6" s="26">
        <v>1.8</v>
      </c>
      <c r="DH6" s="26">
        <v>9</v>
      </c>
      <c r="DI6" s="26">
        <v>0.2</v>
      </c>
      <c r="DJ6" s="26">
        <v>4.0999999999999996</v>
      </c>
      <c r="DK6" s="26">
        <v>15.8</v>
      </c>
      <c r="DL6" s="26">
        <v>8.6999999999999993</v>
      </c>
      <c r="DM6" s="26">
        <v>11.2</v>
      </c>
      <c r="DN6" s="26">
        <v>4.5999999999999996</v>
      </c>
      <c r="DO6" s="26">
        <v>10.199999999999999</v>
      </c>
      <c r="DP6" s="26">
        <v>4.8</v>
      </c>
      <c r="DQ6" s="26">
        <v>6.8</v>
      </c>
      <c r="DR6" s="26">
        <v>7.9</v>
      </c>
      <c r="DS6" s="26">
        <v>7</v>
      </c>
      <c r="DT6" s="26">
        <v>6.7</v>
      </c>
      <c r="DU6" s="26">
        <v>6.2</v>
      </c>
      <c r="DV6" s="26">
        <v>6.7</v>
      </c>
      <c r="DW6" s="26">
        <v>5.6</v>
      </c>
      <c r="DX6" s="26">
        <v>6.5</v>
      </c>
      <c r="DY6" s="26">
        <v>12</v>
      </c>
      <c r="DZ6" s="26">
        <v>8.5</v>
      </c>
      <c r="EA6" s="26">
        <v>6.3</v>
      </c>
      <c r="EB6" s="26">
        <v>10.5</v>
      </c>
      <c r="EC6" s="26">
        <v>7.2</v>
      </c>
      <c r="ED6" s="26">
        <v>9.3000000000000007</v>
      </c>
      <c r="EE6" s="26">
        <v>5.4</v>
      </c>
      <c r="EF6" s="26">
        <v>7.7</v>
      </c>
      <c r="EG6" s="26">
        <v>6.6</v>
      </c>
      <c r="EH6" s="26">
        <v>7.6</v>
      </c>
      <c r="EI6" s="26">
        <v>8.6999999999999993</v>
      </c>
      <c r="EJ6" s="26">
        <v>7</v>
      </c>
      <c r="EK6" s="26">
        <v>8.3000000000000007</v>
      </c>
      <c r="EL6" s="26">
        <v>9.8000000000000007</v>
      </c>
      <c r="EM6" s="26">
        <v>11.7</v>
      </c>
      <c r="EN6" s="26">
        <v>3.9</v>
      </c>
      <c r="EO6" s="26">
        <v>9.9</v>
      </c>
      <c r="EP6" s="26">
        <v>7.2</v>
      </c>
      <c r="EQ6" s="26">
        <v>5.8</v>
      </c>
      <c r="ER6" s="26">
        <v>6.6</v>
      </c>
      <c r="ES6" s="26">
        <v>5.6</v>
      </c>
      <c r="ET6" s="26">
        <v>6.7</v>
      </c>
      <c r="EU6" s="26">
        <v>6.9</v>
      </c>
      <c r="EV6" s="26">
        <v>8.5</v>
      </c>
      <c r="EW6" s="26">
        <v>11.7</v>
      </c>
      <c r="EX6" s="26">
        <v>7.6</v>
      </c>
      <c r="EY6" s="26">
        <v>7.1</v>
      </c>
      <c r="EZ6" s="26">
        <v>7.6</v>
      </c>
      <c r="FA6" s="26">
        <v>4.7</v>
      </c>
      <c r="FB6" s="26">
        <v>6.6</v>
      </c>
      <c r="FC6" s="26">
        <v>6.7</v>
      </c>
      <c r="FD6" s="26">
        <v>5.8</v>
      </c>
      <c r="FE6" s="26">
        <v>6.2</v>
      </c>
      <c r="FF6" s="26">
        <v>7.7</v>
      </c>
      <c r="FG6" s="26">
        <v>12.5</v>
      </c>
      <c r="FH6" s="26">
        <v>7.1</v>
      </c>
      <c r="FI6" s="26">
        <v>9</v>
      </c>
      <c r="FJ6" s="26">
        <v>6.7</v>
      </c>
      <c r="FK6" s="26">
        <v>7.6</v>
      </c>
      <c r="FL6" s="26">
        <v>8</v>
      </c>
      <c r="FM6" s="26">
        <v>9.1</v>
      </c>
      <c r="FN6" s="26">
        <v>7.6</v>
      </c>
      <c r="FO6" s="26">
        <v>8.1999999999999993</v>
      </c>
      <c r="FP6" s="26">
        <v>8.6</v>
      </c>
      <c r="FQ6" s="26">
        <v>5.2</v>
      </c>
      <c r="FR6" s="26">
        <v>6.7</v>
      </c>
      <c r="FS6" s="26">
        <v>6.9</v>
      </c>
      <c r="FT6" s="40">
        <v>6.22</v>
      </c>
      <c r="FU6" s="40">
        <v>5.7</v>
      </c>
      <c r="FV6" s="26">
        <v>7.6</v>
      </c>
      <c r="FW6" s="26">
        <v>7.1</v>
      </c>
      <c r="FX6" s="26">
        <v>9.4</v>
      </c>
      <c r="FY6" s="26">
        <v>12.5</v>
      </c>
      <c r="FZ6" s="26">
        <v>9.5</v>
      </c>
      <c r="GA6" s="26">
        <v>1.8</v>
      </c>
    </row>
    <row r="7" spans="1:278" x14ac:dyDescent="0.3">
      <c r="A7" s="36" t="s">
        <v>2</v>
      </c>
      <c r="B7" s="41">
        <v>8.8122248363577071</v>
      </c>
      <c r="C7" s="25">
        <v>9.3000000000000007</v>
      </c>
      <c r="D7" s="26">
        <v>9.4</v>
      </c>
      <c r="E7" s="26">
        <v>11.5</v>
      </c>
      <c r="F7" s="26">
        <v>7.1</v>
      </c>
      <c r="G7" s="26">
        <v>7.9</v>
      </c>
      <c r="H7" s="26">
        <v>8.6999999999999993</v>
      </c>
      <c r="I7" s="26">
        <v>8.3000000000000007</v>
      </c>
      <c r="J7" s="26">
        <v>8.1</v>
      </c>
      <c r="K7" s="26">
        <v>9.1</v>
      </c>
      <c r="L7" s="26">
        <v>8.1999999999999993</v>
      </c>
      <c r="M7" s="26">
        <v>11.8</v>
      </c>
      <c r="N7" s="26">
        <v>8</v>
      </c>
      <c r="O7" s="26">
        <v>3.1</v>
      </c>
      <c r="P7" s="26">
        <v>8.1999999999999993</v>
      </c>
      <c r="Q7" s="26">
        <v>1</v>
      </c>
      <c r="R7" s="26">
        <v>8</v>
      </c>
      <c r="S7" s="26">
        <v>23.9</v>
      </c>
      <c r="T7" s="26">
        <v>8</v>
      </c>
      <c r="U7" s="26">
        <v>3.2</v>
      </c>
      <c r="V7" s="26">
        <v>8.1</v>
      </c>
      <c r="W7" s="26">
        <v>4.7</v>
      </c>
      <c r="X7" s="26">
        <v>7.1</v>
      </c>
      <c r="Y7" s="26">
        <v>6.1</v>
      </c>
      <c r="Z7" s="26">
        <v>8.1999999999999993</v>
      </c>
      <c r="AA7" s="26">
        <v>7.2</v>
      </c>
      <c r="AB7" s="26">
        <v>8.5</v>
      </c>
      <c r="AC7" s="26">
        <v>9</v>
      </c>
      <c r="AD7" s="26">
        <v>6.3</v>
      </c>
      <c r="AE7" s="26">
        <v>5.7</v>
      </c>
      <c r="AF7" s="26">
        <v>0.2</v>
      </c>
      <c r="AG7" s="26">
        <v>0.3</v>
      </c>
      <c r="AH7" s="26">
        <v>12.4</v>
      </c>
      <c r="AI7" s="26">
        <v>8.6999999999999993</v>
      </c>
      <c r="AJ7" s="26">
        <v>10</v>
      </c>
      <c r="AK7" s="25">
        <v>21.5</v>
      </c>
      <c r="AL7" s="25">
        <v>5.5</v>
      </c>
      <c r="AM7" s="25">
        <v>2</v>
      </c>
      <c r="AN7" s="26">
        <v>10.4</v>
      </c>
      <c r="AO7" s="26">
        <v>1.5</v>
      </c>
      <c r="AP7" s="26">
        <v>9.4</v>
      </c>
      <c r="AQ7" s="26">
        <v>2.1</v>
      </c>
      <c r="AR7" s="26">
        <v>10.1</v>
      </c>
      <c r="AS7" s="26">
        <v>12.8</v>
      </c>
      <c r="AT7" s="26">
        <v>8.6</v>
      </c>
      <c r="AU7" s="26">
        <v>12</v>
      </c>
      <c r="AV7" s="26">
        <v>8.9</v>
      </c>
      <c r="AW7" s="26">
        <v>11.1</v>
      </c>
      <c r="AX7" s="26">
        <v>7.6</v>
      </c>
      <c r="AY7" s="26">
        <v>7.4</v>
      </c>
      <c r="AZ7" s="26">
        <v>8</v>
      </c>
      <c r="BA7" s="26">
        <v>6.9</v>
      </c>
      <c r="BB7" s="26">
        <v>7.5</v>
      </c>
      <c r="BC7" s="26">
        <v>6.7</v>
      </c>
      <c r="BD7" s="26">
        <v>8.1</v>
      </c>
      <c r="BE7" s="26">
        <v>10.1</v>
      </c>
      <c r="BF7" s="26">
        <v>7.6</v>
      </c>
      <c r="BG7" s="26">
        <v>11.7</v>
      </c>
      <c r="BH7" s="26">
        <v>8.5</v>
      </c>
      <c r="BI7" s="26">
        <v>14.9</v>
      </c>
      <c r="BJ7" s="26">
        <v>7.4</v>
      </c>
      <c r="BK7" s="26">
        <v>2.5</v>
      </c>
      <c r="BL7" s="26">
        <v>8.6</v>
      </c>
      <c r="BM7" s="26">
        <v>1.2</v>
      </c>
      <c r="BN7" s="26">
        <v>8.1999999999999993</v>
      </c>
      <c r="BO7" s="26">
        <v>1.6</v>
      </c>
      <c r="BP7" s="26">
        <v>7.5</v>
      </c>
      <c r="BQ7" s="26">
        <v>7.9</v>
      </c>
      <c r="BR7" s="26">
        <v>6.8</v>
      </c>
      <c r="BS7" s="26">
        <v>10.7</v>
      </c>
      <c r="BT7" s="26">
        <v>8.5</v>
      </c>
      <c r="BU7" s="26">
        <v>9</v>
      </c>
      <c r="BV7" s="26">
        <v>8.8000000000000007</v>
      </c>
      <c r="BW7" s="26">
        <v>7.5</v>
      </c>
      <c r="BX7" s="26">
        <v>8.8000000000000007</v>
      </c>
      <c r="BY7" s="26">
        <v>9.8000000000000007</v>
      </c>
      <c r="BZ7" s="26">
        <v>7.8</v>
      </c>
      <c r="CA7" s="26">
        <v>8.6999999999999993</v>
      </c>
      <c r="CB7" s="26">
        <v>9.1</v>
      </c>
      <c r="CC7" s="26">
        <v>11</v>
      </c>
      <c r="CD7" s="26">
        <v>8.4</v>
      </c>
      <c r="CE7" s="26">
        <v>10.199999999999999</v>
      </c>
      <c r="CF7" s="26">
        <v>9.4</v>
      </c>
      <c r="CG7" s="26">
        <v>12.5</v>
      </c>
      <c r="CH7" s="26">
        <v>8.1</v>
      </c>
      <c r="CI7" s="26">
        <v>3.9</v>
      </c>
      <c r="CJ7" s="26">
        <v>8.6999999999999993</v>
      </c>
      <c r="CK7" s="26">
        <v>1.6</v>
      </c>
      <c r="CL7" s="26">
        <v>8.6</v>
      </c>
      <c r="CM7" s="26">
        <v>1.7</v>
      </c>
      <c r="CN7" s="26">
        <v>5.9</v>
      </c>
      <c r="CO7" s="26">
        <v>5.7</v>
      </c>
      <c r="CP7" s="26">
        <v>9.1999999999999993</v>
      </c>
      <c r="CQ7" s="26">
        <v>13.6</v>
      </c>
      <c r="CR7" s="26">
        <v>6</v>
      </c>
      <c r="CS7" s="26">
        <v>12.9</v>
      </c>
      <c r="CT7" s="26">
        <v>8.1</v>
      </c>
      <c r="CU7" s="26">
        <v>8.1999999999999993</v>
      </c>
      <c r="CV7" s="26">
        <v>9.3000000000000007</v>
      </c>
      <c r="CW7" s="26">
        <v>10.4</v>
      </c>
      <c r="CX7" s="26">
        <v>9.3000000000000007</v>
      </c>
      <c r="CY7" s="26">
        <v>10.4</v>
      </c>
      <c r="CZ7" s="26">
        <v>3.5</v>
      </c>
      <c r="DA7" s="26">
        <v>4.3</v>
      </c>
      <c r="DB7" s="26">
        <v>7.3</v>
      </c>
      <c r="DC7" s="26">
        <v>6.4</v>
      </c>
      <c r="DD7" s="26">
        <v>11.2</v>
      </c>
      <c r="DE7" s="26">
        <v>10.1</v>
      </c>
      <c r="DF7" s="26">
        <v>11.5</v>
      </c>
      <c r="DG7" s="26">
        <v>4.4000000000000004</v>
      </c>
      <c r="DH7" s="26">
        <v>10.4</v>
      </c>
      <c r="DI7" s="26">
        <v>2.9</v>
      </c>
      <c r="DJ7" s="26">
        <v>9.4</v>
      </c>
      <c r="DK7" s="26">
        <v>22.1</v>
      </c>
      <c r="DL7" s="26">
        <v>7.5</v>
      </c>
      <c r="DM7" s="26">
        <v>12.7</v>
      </c>
      <c r="DN7" s="26">
        <v>8.9</v>
      </c>
      <c r="DO7" s="26">
        <v>6.7</v>
      </c>
      <c r="DP7" s="26">
        <v>8.1999999999999993</v>
      </c>
      <c r="DQ7" s="26">
        <v>12.6</v>
      </c>
      <c r="DR7" s="26">
        <v>5.8</v>
      </c>
      <c r="DS7" s="26">
        <v>5.8</v>
      </c>
      <c r="DT7" s="26">
        <v>7.1</v>
      </c>
      <c r="DU7" s="26">
        <v>5.5</v>
      </c>
      <c r="DV7" s="26">
        <v>6.3</v>
      </c>
      <c r="DW7" s="26">
        <v>7.5</v>
      </c>
      <c r="DX7" s="26">
        <v>5.6</v>
      </c>
      <c r="DY7" s="26">
        <v>8.8000000000000007</v>
      </c>
      <c r="DZ7" s="26">
        <v>6.8</v>
      </c>
      <c r="EA7" s="26">
        <v>7.8</v>
      </c>
      <c r="EB7" s="26">
        <v>5.6</v>
      </c>
      <c r="EC7" s="26">
        <v>5.9</v>
      </c>
      <c r="ED7" s="26">
        <v>8.5</v>
      </c>
      <c r="EE7" s="26">
        <v>7.5</v>
      </c>
      <c r="EF7" s="26">
        <v>12.2</v>
      </c>
      <c r="EG7" s="26">
        <v>10.6</v>
      </c>
      <c r="EH7" s="26">
        <v>9.1</v>
      </c>
      <c r="EI7" s="26">
        <v>9.4</v>
      </c>
      <c r="EJ7" s="26">
        <v>9.3000000000000007</v>
      </c>
      <c r="EK7" s="26">
        <v>9.3000000000000007</v>
      </c>
      <c r="EL7" s="26">
        <v>8.4</v>
      </c>
      <c r="EM7" s="26">
        <v>7.7</v>
      </c>
      <c r="EN7" s="26">
        <v>7.5</v>
      </c>
      <c r="EO7" s="26">
        <v>6.4</v>
      </c>
      <c r="EP7" s="26">
        <v>5.4</v>
      </c>
      <c r="EQ7" s="26">
        <v>4.2</v>
      </c>
      <c r="ER7" s="26">
        <v>2.5</v>
      </c>
      <c r="ES7" s="26">
        <v>2.5</v>
      </c>
      <c r="ET7" s="26">
        <v>10.8</v>
      </c>
      <c r="EU7" s="26">
        <v>9.8000000000000007</v>
      </c>
      <c r="EV7" s="26">
        <v>10.4</v>
      </c>
      <c r="EW7" s="26">
        <v>11.6</v>
      </c>
      <c r="EX7" s="26">
        <v>10.3</v>
      </c>
      <c r="EY7" s="26">
        <v>9.5</v>
      </c>
      <c r="EZ7" s="26">
        <v>10.7</v>
      </c>
      <c r="FA7" s="26">
        <v>13.5</v>
      </c>
      <c r="FB7" s="26">
        <v>7.9</v>
      </c>
      <c r="FC7" s="26">
        <v>7.5</v>
      </c>
      <c r="FD7" s="26">
        <v>7.8</v>
      </c>
      <c r="FE7" s="26">
        <v>8.5</v>
      </c>
      <c r="FF7" s="26">
        <v>8.9</v>
      </c>
      <c r="FG7" s="26">
        <v>10.3</v>
      </c>
      <c r="FH7" s="26">
        <v>6.9</v>
      </c>
      <c r="FI7" s="26">
        <v>7.6</v>
      </c>
      <c r="FJ7" s="26">
        <v>6.7</v>
      </c>
      <c r="FK7" s="26">
        <v>6.8</v>
      </c>
      <c r="FL7" s="26">
        <v>7.3</v>
      </c>
      <c r="FM7" s="26">
        <v>7.2</v>
      </c>
      <c r="FN7" s="26">
        <v>8.6</v>
      </c>
      <c r="FO7" s="26">
        <v>8.1999999999999993</v>
      </c>
      <c r="FP7" s="26">
        <v>4.5</v>
      </c>
      <c r="FQ7" s="26">
        <v>2.4</v>
      </c>
      <c r="FR7" s="26">
        <v>10.8</v>
      </c>
      <c r="FS7" s="26">
        <v>9.8000000000000007</v>
      </c>
      <c r="FT7" s="26">
        <v>5.2</v>
      </c>
      <c r="FU7" s="40">
        <v>4.6500000000000004</v>
      </c>
      <c r="FV7" s="26">
        <v>9.3000000000000007</v>
      </c>
      <c r="FW7" s="26">
        <v>8.1999999999999993</v>
      </c>
      <c r="FX7" s="26">
        <v>10.1</v>
      </c>
      <c r="FY7" s="26">
        <v>14.8</v>
      </c>
      <c r="FZ7" s="26">
        <v>11.5</v>
      </c>
      <c r="GA7" s="26">
        <v>4.2</v>
      </c>
    </row>
    <row r="8" spans="1:278" x14ac:dyDescent="0.3">
      <c r="A8" s="36" t="s">
        <v>3</v>
      </c>
      <c r="B8" s="41">
        <v>11.932903956401727</v>
      </c>
      <c r="C8" s="25">
        <v>9.3000000000000007</v>
      </c>
      <c r="D8" s="26">
        <v>7.3</v>
      </c>
      <c r="E8" s="26">
        <v>5.4</v>
      </c>
      <c r="F8" s="26">
        <v>2.2999999999999998</v>
      </c>
      <c r="G8" s="26">
        <v>1.3</v>
      </c>
      <c r="H8" s="26">
        <v>14</v>
      </c>
      <c r="I8" s="26">
        <v>16.8</v>
      </c>
      <c r="J8" s="26">
        <v>8.8000000000000007</v>
      </c>
      <c r="K8" s="26">
        <v>13.1</v>
      </c>
      <c r="L8" s="26">
        <v>9</v>
      </c>
      <c r="M8" s="26">
        <v>20.8</v>
      </c>
      <c r="N8" s="26">
        <v>8.3000000000000007</v>
      </c>
      <c r="O8" s="26">
        <v>6.1</v>
      </c>
      <c r="P8" s="26">
        <v>8</v>
      </c>
      <c r="Q8" s="26">
        <v>0.3</v>
      </c>
      <c r="R8" s="26">
        <v>7.6</v>
      </c>
      <c r="S8" s="26">
        <v>5.5</v>
      </c>
      <c r="T8" s="26">
        <v>8.1</v>
      </c>
      <c r="U8" s="26">
        <v>1.1000000000000001</v>
      </c>
      <c r="V8" s="26">
        <v>7.1</v>
      </c>
      <c r="W8" s="26">
        <v>11.8</v>
      </c>
      <c r="X8" s="26">
        <v>6.1</v>
      </c>
      <c r="Y8" s="26">
        <v>6.7</v>
      </c>
      <c r="Z8" s="26">
        <v>7.2</v>
      </c>
      <c r="AA8" s="26">
        <v>4.9000000000000004</v>
      </c>
      <c r="AB8" s="26">
        <v>8.1</v>
      </c>
      <c r="AC8" s="26">
        <v>7</v>
      </c>
      <c r="AD8" s="26">
        <v>4.7</v>
      </c>
      <c r="AE8" s="26">
        <v>3.5</v>
      </c>
      <c r="AF8" s="26">
        <v>0</v>
      </c>
      <c r="AG8" s="26">
        <v>0.2</v>
      </c>
      <c r="AH8" s="26">
        <v>6.6</v>
      </c>
      <c r="AI8" s="26">
        <v>6.5</v>
      </c>
      <c r="AJ8" s="26">
        <v>5.2</v>
      </c>
      <c r="AK8" s="25">
        <v>15</v>
      </c>
      <c r="AL8" s="25">
        <v>1.3</v>
      </c>
      <c r="AM8" s="25">
        <v>2.4</v>
      </c>
      <c r="AN8" s="26">
        <v>11.3</v>
      </c>
      <c r="AO8" s="26">
        <v>4.4000000000000004</v>
      </c>
      <c r="AP8" s="26">
        <v>9.5</v>
      </c>
      <c r="AQ8" s="26">
        <v>2</v>
      </c>
      <c r="AR8" s="26">
        <v>9.1</v>
      </c>
      <c r="AS8" s="26">
        <v>9.8000000000000007</v>
      </c>
      <c r="AT8" s="26">
        <v>8.4</v>
      </c>
      <c r="AU8" s="26">
        <v>15.2</v>
      </c>
      <c r="AV8" s="26">
        <v>7.4</v>
      </c>
      <c r="AW8" s="26">
        <v>8.9</v>
      </c>
      <c r="AX8" s="26">
        <v>6.6</v>
      </c>
      <c r="AY8" s="26">
        <v>5.0999999999999996</v>
      </c>
      <c r="AZ8" s="26">
        <v>5.6</v>
      </c>
      <c r="BA8" s="26">
        <v>5.6</v>
      </c>
      <c r="BB8" s="26">
        <v>7.1</v>
      </c>
      <c r="BC8" s="26">
        <v>5.4</v>
      </c>
      <c r="BD8" s="26">
        <v>7.5</v>
      </c>
      <c r="BE8" s="26">
        <v>14.2</v>
      </c>
      <c r="BF8" s="26">
        <v>7</v>
      </c>
      <c r="BG8" s="26">
        <v>12.4</v>
      </c>
      <c r="BH8" s="26">
        <v>7.2</v>
      </c>
      <c r="BI8" s="26">
        <v>17</v>
      </c>
      <c r="BJ8" s="26">
        <v>4.7</v>
      </c>
      <c r="BK8" s="26">
        <v>4</v>
      </c>
      <c r="BL8" s="26">
        <v>5.2</v>
      </c>
      <c r="BM8" s="26">
        <v>0.9</v>
      </c>
      <c r="BN8" s="26">
        <v>7.5</v>
      </c>
      <c r="BO8" s="26">
        <v>0.6</v>
      </c>
      <c r="BP8" s="26">
        <v>7.2</v>
      </c>
      <c r="BQ8" s="26">
        <v>4.3</v>
      </c>
      <c r="BR8" s="26">
        <v>8.4</v>
      </c>
      <c r="BS8" s="26">
        <v>7.6</v>
      </c>
      <c r="BT8" s="26">
        <v>13.5</v>
      </c>
      <c r="BU8" s="26">
        <v>13.1</v>
      </c>
      <c r="BV8" s="26">
        <v>7.8</v>
      </c>
      <c r="BW8" s="26">
        <v>5.5</v>
      </c>
      <c r="BX8" s="26">
        <v>9.9</v>
      </c>
      <c r="BY8" s="26">
        <v>9.4</v>
      </c>
      <c r="BZ8" s="26">
        <v>7.4</v>
      </c>
      <c r="CA8" s="26">
        <v>6.2</v>
      </c>
      <c r="CB8" s="26">
        <v>9.8000000000000007</v>
      </c>
      <c r="CC8" s="26">
        <v>21.1</v>
      </c>
      <c r="CD8" s="26">
        <v>8.1</v>
      </c>
      <c r="CE8" s="26">
        <v>12.6</v>
      </c>
      <c r="CF8" s="26">
        <v>10.1</v>
      </c>
      <c r="CG8" s="26">
        <v>14.8</v>
      </c>
      <c r="CH8" s="26">
        <v>9.1</v>
      </c>
      <c r="CI8" s="26">
        <v>3.6</v>
      </c>
      <c r="CJ8" s="26">
        <v>10.1</v>
      </c>
      <c r="CK8" s="26">
        <v>0.7</v>
      </c>
      <c r="CL8" s="26">
        <v>8.6</v>
      </c>
      <c r="CM8" s="26">
        <v>0.9</v>
      </c>
      <c r="CN8" s="26">
        <v>7.1</v>
      </c>
      <c r="CO8" s="26">
        <v>5.3</v>
      </c>
      <c r="CP8" s="26">
        <v>7</v>
      </c>
      <c r="CQ8" s="26">
        <v>9.8000000000000007</v>
      </c>
      <c r="CR8" s="26">
        <v>4.4000000000000004</v>
      </c>
      <c r="CS8" s="26">
        <v>7.6</v>
      </c>
      <c r="CT8" s="26">
        <v>8.4</v>
      </c>
      <c r="CU8" s="26">
        <v>7.8</v>
      </c>
      <c r="CV8" s="26">
        <v>8.6999999999999993</v>
      </c>
      <c r="CW8" s="26">
        <v>8.5</v>
      </c>
      <c r="CX8" s="26">
        <v>8.6999999999999993</v>
      </c>
      <c r="CY8" s="26">
        <v>8.5</v>
      </c>
      <c r="CZ8" s="26">
        <v>9.9</v>
      </c>
      <c r="DA8" s="26">
        <v>18.7</v>
      </c>
      <c r="DB8" s="26">
        <v>9.1</v>
      </c>
      <c r="DC8" s="26">
        <v>12.1</v>
      </c>
      <c r="DD8" s="26">
        <v>9.6999999999999993</v>
      </c>
      <c r="DE8" s="26">
        <v>11.8</v>
      </c>
      <c r="DF8" s="26">
        <v>8.8000000000000007</v>
      </c>
      <c r="DG8" s="26">
        <v>2.9</v>
      </c>
      <c r="DH8" s="26">
        <v>8.4</v>
      </c>
      <c r="DI8" s="26">
        <v>0.6</v>
      </c>
      <c r="DJ8" s="26">
        <v>7.6</v>
      </c>
      <c r="DK8" s="26">
        <v>4.5</v>
      </c>
      <c r="DL8" s="26">
        <v>9.8000000000000007</v>
      </c>
      <c r="DM8" s="26">
        <v>15.9</v>
      </c>
      <c r="DN8" s="26">
        <v>13.3</v>
      </c>
      <c r="DO8" s="26">
        <v>8.1</v>
      </c>
      <c r="DP8" s="26">
        <v>7.8</v>
      </c>
      <c r="DQ8" s="26">
        <v>5.5</v>
      </c>
      <c r="DR8" s="26">
        <v>8.4</v>
      </c>
      <c r="DS8" s="26">
        <v>6.2</v>
      </c>
      <c r="DT8" s="26">
        <v>7.8</v>
      </c>
      <c r="DU8" s="26">
        <v>6</v>
      </c>
      <c r="DV8" s="26">
        <v>5.5</v>
      </c>
      <c r="DW8" s="26">
        <v>4.2</v>
      </c>
      <c r="DX8" s="26">
        <v>7.2</v>
      </c>
      <c r="DY8" s="26">
        <v>10.8</v>
      </c>
      <c r="DZ8" s="26">
        <v>9.4</v>
      </c>
      <c r="EA8" s="26">
        <v>9.1</v>
      </c>
      <c r="EB8" s="26">
        <v>15.3</v>
      </c>
      <c r="EC8" s="26">
        <v>9.8000000000000007</v>
      </c>
      <c r="ED8" s="26">
        <v>7.2</v>
      </c>
      <c r="EE8" s="26">
        <v>6.1</v>
      </c>
      <c r="EF8" s="26">
        <v>8.3000000000000007</v>
      </c>
      <c r="EG8" s="26">
        <v>9.5</v>
      </c>
      <c r="EH8" s="26">
        <v>9.9</v>
      </c>
      <c r="EI8" s="26">
        <v>10.8</v>
      </c>
      <c r="EJ8" s="26">
        <v>7.5</v>
      </c>
      <c r="EK8" s="26">
        <v>6</v>
      </c>
      <c r="EL8" s="26">
        <v>7</v>
      </c>
      <c r="EM8" s="26">
        <v>6.6</v>
      </c>
      <c r="EN8" s="26">
        <v>6.6</v>
      </c>
      <c r="EO8" s="26">
        <v>6.8</v>
      </c>
      <c r="EP8" s="26">
        <v>6.5</v>
      </c>
      <c r="EQ8" s="26">
        <v>4.5</v>
      </c>
      <c r="ER8" s="26">
        <v>8.5</v>
      </c>
      <c r="ES8" s="26">
        <v>9.4</v>
      </c>
      <c r="ET8" s="26">
        <v>9</v>
      </c>
      <c r="EU8" s="26">
        <v>10</v>
      </c>
      <c r="EV8" s="26">
        <v>8.4</v>
      </c>
      <c r="EW8" s="26">
        <v>9.6999999999999993</v>
      </c>
      <c r="EX8" s="26">
        <v>6.7</v>
      </c>
      <c r="EY8" s="26">
        <v>5.8</v>
      </c>
      <c r="EZ8" s="26">
        <v>7.7</v>
      </c>
      <c r="FA8" s="26">
        <v>0.7</v>
      </c>
      <c r="FB8" s="26">
        <v>7.6</v>
      </c>
      <c r="FC8" s="26">
        <v>8.5</v>
      </c>
      <c r="FD8" s="26">
        <v>8.4</v>
      </c>
      <c r="FE8" s="26">
        <v>6.2</v>
      </c>
      <c r="FF8" s="26">
        <v>7.7</v>
      </c>
      <c r="FG8" s="26">
        <v>10.199999999999999</v>
      </c>
      <c r="FH8" s="26">
        <v>7.1</v>
      </c>
      <c r="FI8" s="26">
        <v>8.3000000000000007</v>
      </c>
      <c r="FJ8" s="26">
        <v>6.6</v>
      </c>
      <c r="FK8" s="26">
        <v>7.1</v>
      </c>
      <c r="FL8" s="26">
        <v>7.4</v>
      </c>
      <c r="FM8" s="26">
        <v>6.9</v>
      </c>
      <c r="FN8" s="26">
        <v>8.4</v>
      </c>
      <c r="FO8" s="26">
        <v>7.8</v>
      </c>
      <c r="FP8" s="26">
        <v>8.5</v>
      </c>
      <c r="FQ8" s="26">
        <v>9.4</v>
      </c>
      <c r="FR8" s="26">
        <v>9</v>
      </c>
      <c r="FS8" s="26">
        <v>10</v>
      </c>
      <c r="FT8" s="26">
        <v>5.3</v>
      </c>
      <c r="FU8" s="40">
        <v>4.0999999999999996</v>
      </c>
      <c r="FV8" s="26">
        <v>6.7</v>
      </c>
      <c r="FW8" s="26">
        <v>7.8</v>
      </c>
      <c r="FX8" s="26">
        <v>7.9</v>
      </c>
      <c r="FY8" s="26">
        <v>6.6</v>
      </c>
      <c r="FZ8" s="26">
        <v>8.8000000000000007</v>
      </c>
      <c r="GA8" s="26">
        <v>2.4</v>
      </c>
    </row>
    <row r="9" spans="1:278" x14ac:dyDescent="0.3">
      <c r="A9" s="36" t="s">
        <v>4</v>
      </c>
      <c r="B9" s="41">
        <v>10.447394296951819</v>
      </c>
      <c r="C9" s="25">
        <v>10</v>
      </c>
      <c r="D9" s="26">
        <v>8.9</v>
      </c>
      <c r="E9" s="26">
        <v>10.8</v>
      </c>
      <c r="F9" s="26">
        <v>7.8</v>
      </c>
      <c r="G9" s="26">
        <v>8.4</v>
      </c>
      <c r="H9" s="26">
        <v>9.1</v>
      </c>
      <c r="I9" s="26">
        <v>7.2</v>
      </c>
      <c r="J9" s="26">
        <v>7.5</v>
      </c>
      <c r="K9" s="26">
        <v>8</v>
      </c>
      <c r="L9" s="26">
        <v>8.1</v>
      </c>
      <c r="M9" s="26">
        <v>6.6</v>
      </c>
      <c r="N9" s="26">
        <v>8</v>
      </c>
      <c r="O9" s="26">
        <v>5</v>
      </c>
      <c r="P9" s="26">
        <v>7.7</v>
      </c>
      <c r="Q9" s="26">
        <v>1.6</v>
      </c>
      <c r="R9" s="26">
        <v>8.1</v>
      </c>
      <c r="S9" s="26">
        <v>16.899999999999999</v>
      </c>
      <c r="T9" s="26">
        <v>7.4</v>
      </c>
      <c r="U9" s="26">
        <v>5.5</v>
      </c>
      <c r="V9" s="26">
        <v>7.9</v>
      </c>
      <c r="W9" s="26">
        <v>6.9</v>
      </c>
      <c r="X9" s="26">
        <v>5.9</v>
      </c>
      <c r="Y9" s="26">
        <v>8.1</v>
      </c>
      <c r="Z9" s="26">
        <v>8.4</v>
      </c>
      <c r="AA9" s="26">
        <v>8</v>
      </c>
      <c r="AB9" s="26">
        <v>8.8000000000000007</v>
      </c>
      <c r="AC9" s="26">
        <v>9</v>
      </c>
      <c r="AD9" s="26">
        <v>6.3</v>
      </c>
      <c r="AE9" s="26">
        <v>5.0999999999999996</v>
      </c>
      <c r="AF9" s="26">
        <v>0.7</v>
      </c>
      <c r="AG9" s="26">
        <v>0.6</v>
      </c>
      <c r="AH9" s="26">
        <v>8.6999999999999993</v>
      </c>
      <c r="AI9" s="26">
        <v>6.5</v>
      </c>
      <c r="AJ9" s="26">
        <v>9.6</v>
      </c>
      <c r="AK9" s="25">
        <v>11.2</v>
      </c>
      <c r="AL9" s="25">
        <v>2.2000000000000002</v>
      </c>
      <c r="AM9" s="25">
        <v>2.6</v>
      </c>
      <c r="AN9" s="26">
        <v>7.8</v>
      </c>
      <c r="AO9" s="26">
        <v>2.1</v>
      </c>
      <c r="AP9" s="26">
        <v>10.9</v>
      </c>
      <c r="AQ9" s="26">
        <v>3.4</v>
      </c>
      <c r="AR9" s="26">
        <v>9.8000000000000007</v>
      </c>
      <c r="AS9" s="26">
        <v>15.8</v>
      </c>
      <c r="AT9" s="26">
        <v>9.6</v>
      </c>
      <c r="AU9" s="26">
        <v>15.3</v>
      </c>
      <c r="AV9" s="26">
        <v>6.8</v>
      </c>
      <c r="AW9" s="26">
        <v>10.199999999999999</v>
      </c>
      <c r="AX9" s="26">
        <v>7.8</v>
      </c>
      <c r="AY9" s="26">
        <v>6.3</v>
      </c>
      <c r="AZ9" s="26">
        <v>8.5</v>
      </c>
      <c r="BA9" s="26">
        <v>9.4</v>
      </c>
      <c r="BB9" s="26">
        <v>6.9</v>
      </c>
      <c r="BC9" s="26">
        <v>8.3000000000000007</v>
      </c>
      <c r="BD9" s="26">
        <v>7.5</v>
      </c>
      <c r="BE9" s="26">
        <v>9.4</v>
      </c>
      <c r="BF9" s="26">
        <v>7.3</v>
      </c>
      <c r="BG9" s="26">
        <v>6.9</v>
      </c>
      <c r="BH9" s="26">
        <v>7.4</v>
      </c>
      <c r="BI9" s="26">
        <v>6.7</v>
      </c>
      <c r="BJ9" s="26">
        <v>6.5</v>
      </c>
      <c r="BK9" s="26">
        <v>4.8</v>
      </c>
      <c r="BL9" s="26">
        <v>7.5</v>
      </c>
      <c r="BM9" s="26">
        <v>3.4</v>
      </c>
      <c r="BN9" s="26">
        <v>7.4</v>
      </c>
      <c r="BO9" s="26">
        <v>2.5</v>
      </c>
      <c r="BP9" s="26">
        <v>8.5</v>
      </c>
      <c r="BQ9" s="26">
        <v>12</v>
      </c>
      <c r="BR9" s="26">
        <v>9.1</v>
      </c>
      <c r="BS9" s="26">
        <v>10</v>
      </c>
      <c r="BT9" s="26">
        <v>7.9</v>
      </c>
      <c r="BU9" s="26">
        <v>13.9</v>
      </c>
      <c r="BV9" s="26">
        <v>8.1999999999999993</v>
      </c>
      <c r="BW9" s="26">
        <v>6</v>
      </c>
      <c r="BX9" s="26">
        <v>10.1</v>
      </c>
      <c r="BY9" s="26">
        <v>12</v>
      </c>
      <c r="BZ9" s="26">
        <v>7.6</v>
      </c>
      <c r="CA9" s="26">
        <v>9.4</v>
      </c>
      <c r="CB9" s="26">
        <v>8.9</v>
      </c>
      <c r="CC9" s="26">
        <v>13.9</v>
      </c>
      <c r="CD9" s="26">
        <v>8.3000000000000007</v>
      </c>
      <c r="CE9" s="26">
        <v>11</v>
      </c>
      <c r="CF9" s="26">
        <v>7.9</v>
      </c>
      <c r="CG9" s="26">
        <v>6.6</v>
      </c>
      <c r="CH9" s="26">
        <v>8.4</v>
      </c>
      <c r="CI9" s="26">
        <v>4.3</v>
      </c>
      <c r="CJ9" s="26">
        <v>8.3000000000000007</v>
      </c>
      <c r="CK9" s="26">
        <v>2.9</v>
      </c>
      <c r="CL9" s="26">
        <v>9.3000000000000007</v>
      </c>
      <c r="CM9" s="26">
        <v>2.9</v>
      </c>
      <c r="CN9" s="26">
        <v>7.5</v>
      </c>
      <c r="CO9" s="26">
        <v>12.4</v>
      </c>
      <c r="CP9" s="26">
        <v>8.4</v>
      </c>
      <c r="CQ9" s="26">
        <v>11.7</v>
      </c>
      <c r="CR9" s="26">
        <v>5.4</v>
      </c>
      <c r="CS9" s="26">
        <v>9.4</v>
      </c>
      <c r="CT9" s="26">
        <v>8.3000000000000007</v>
      </c>
      <c r="CU9" s="26">
        <v>10.4</v>
      </c>
      <c r="CV9" s="26">
        <v>7.9</v>
      </c>
      <c r="CW9" s="26">
        <v>8.3000000000000007</v>
      </c>
      <c r="CX9" s="26">
        <v>7.9</v>
      </c>
      <c r="CY9" s="26">
        <v>8.3000000000000007</v>
      </c>
      <c r="CZ9" s="26">
        <v>9.1999999999999993</v>
      </c>
      <c r="DA9" s="26">
        <v>11.8</v>
      </c>
      <c r="DB9" s="26">
        <v>7.6</v>
      </c>
      <c r="DC9" s="26">
        <v>11.2</v>
      </c>
      <c r="DD9" s="26">
        <v>7.5</v>
      </c>
      <c r="DE9" s="26">
        <v>4.5999999999999996</v>
      </c>
      <c r="DF9" s="26">
        <v>8.3000000000000007</v>
      </c>
      <c r="DG9" s="26">
        <v>2.8</v>
      </c>
      <c r="DH9" s="26">
        <v>8.4</v>
      </c>
      <c r="DI9" s="26">
        <v>3.1</v>
      </c>
      <c r="DJ9" s="26">
        <v>6.7</v>
      </c>
      <c r="DK9" s="26">
        <v>11.9</v>
      </c>
      <c r="DL9" s="26">
        <v>7.4</v>
      </c>
      <c r="DM9" s="26">
        <v>11</v>
      </c>
      <c r="DN9" s="26">
        <v>11.2</v>
      </c>
      <c r="DO9" s="26">
        <v>10.9</v>
      </c>
      <c r="DP9" s="26">
        <v>5.6</v>
      </c>
      <c r="DQ9" s="26">
        <v>7.9</v>
      </c>
      <c r="DR9" s="26">
        <v>8.4</v>
      </c>
      <c r="DS9" s="26">
        <v>9.9</v>
      </c>
      <c r="DT9" s="26">
        <v>7</v>
      </c>
      <c r="DU9" s="26">
        <v>5.5</v>
      </c>
      <c r="DV9" s="26">
        <v>5.5</v>
      </c>
      <c r="DW9" s="26">
        <v>7.2</v>
      </c>
      <c r="DX9" s="26">
        <v>7.2</v>
      </c>
      <c r="DY9" s="26">
        <v>8.1</v>
      </c>
      <c r="DZ9" s="26">
        <v>6.1</v>
      </c>
      <c r="EA9" s="26">
        <v>6.2</v>
      </c>
      <c r="EB9" s="26">
        <v>10.6</v>
      </c>
      <c r="EC9" s="26">
        <v>10.4</v>
      </c>
      <c r="ED9" s="26">
        <v>8.5</v>
      </c>
      <c r="EE9" s="26">
        <v>11.9</v>
      </c>
      <c r="EF9" s="26">
        <v>8</v>
      </c>
      <c r="EG9" s="26">
        <v>6.9</v>
      </c>
      <c r="EH9" s="26">
        <v>7.8</v>
      </c>
      <c r="EI9" s="26">
        <v>6.4</v>
      </c>
      <c r="EJ9" s="26">
        <v>7.5</v>
      </c>
      <c r="EK9" s="26">
        <v>8.4</v>
      </c>
      <c r="EL9" s="26">
        <v>8.9</v>
      </c>
      <c r="EM9" s="26">
        <v>8.8000000000000007</v>
      </c>
      <c r="EN9" s="26">
        <v>9.8000000000000007</v>
      </c>
      <c r="EO9" s="26">
        <v>7.2</v>
      </c>
      <c r="EP9" s="26">
        <v>6.8</v>
      </c>
      <c r="EQ9" s="26">
        <v>7.3</v>
      </c>
      <c r="ER9" s="26">
        <v>7.2</v>
      </c>
      <c r="ES9" s="26">
        <v>7.1</v>
      </c>
      <c r="ET9" s="26">
        <v>7.2</v>
      </c>
      <c r="EU9" s="26">
        <v>5.9</v>
      </c>
      <c r="EV9" s="26">
        <v>10.5</v>
      </c>
      <c r="EW9" s="26">
        <v>10.199999999999999</v>
      </c>
      <c r="EX9" s="26">
        <v>6.7</v>
      </c>
      <c r="EY9" s="26">
        <v>6.8</v>
      </c>
      <c r="EZ9" s="26">
        <v>8.6999999999999993</v>
      </c>
      <c r="FA9" s="26">
        <v>4.5</v>
      </c>
      <c r="FB9" s="26">
        <v>6.6</v>
      </c>
      <c r="FC9" s="26">
        <v>4.7</v>
      </c>
      <c r="FD9" s="26">
        <v>8.4</v>
      </c>
      <c r="FE9" s="26">
        <v>6.3</v>
      </c>
      <c r="FF9" s="26">
        <v>8.3000000000000007</v>
      </c>
      <c r="FG9" s="26">
        <v>12.6</v>
      </c>
      <c r="FH9" s="26">
        <v>8.5</v>
      </c>
      <c r="FI9" s="26">
        <v>9.6</v>
      </c>
      <c r="FJ9" s="26">
        <v>7.2</v>
      </c>
      <c r="FK9" s="26">
        <v>7.2</v>
      </c>
      <c r="FL9" s="26">
        <v>7.3</v>
      </c>
      <c r="FM9" s="26">
        <v>8.8000000000000007</v>
      </c>
      <c r="FN9" s="26">
        <v>8.3000000000000007</v>
      </c>
      <c r="FO9" s="26">
        <v>9.4</v>
      </c>
      <c r="FP9" s="26">
        <v>7.2</v>
      </c>
      <c r="FQ9" s="26">
        <v>7.1</v>
      </c>
      <c r="FR9" s="26">
        <v>7.2</v>
      </c>
      <c r="FS9" s="26">
        <v>5.9</v>
      </c>
      <c r="FT9" s="40">
        <v>6.72</v>
      </c>
      <c r="FU9" s="40">
        <v>7.32</v>
      </c>
      <c r="FV9" s="26">
        <v>6.7</v>
      </c>
      <c r="FW9" s="26">
        <v>6.8</v>
      </c>
      <c r="FX9" s="26">
        <v>8.6999999999999993</v>
      </c>
      <c r="FY9" s="26">
        <v>6.8</v>
      </c>
      <c r="FZ9" s="26">
        <v>8.1999999999999993</v>
      </c>
      <c r="GA9" s="26">
        <v>2.4</v>
      </c>
    </row>
    <row r="10" spans="1:278" x14ac:dyDescent="0.3">
      <c r="A10" s="36" t="s">
        <v>5</v>
      </c>
      <c r="B10" s="41">
        <v>9.555690809494827</v>
      </c>
      <c r="C10" s="25">
        <v>9.6999999999999993</v>
      </c>
      <c r="D10" s="26">
        <v>9.9</v>
      </c>
      <c r="E10" s="26">
        <v>11.4</v>
      </c>
      <c r="F10" s="26">
        <v>7.6</v>
      </c>
      <c r="G10" s="26">
        <v>9.1999999999999993</v>
      </c>
      <c r="H10" s="26">
        <v>9.1</v>
      </c>
      <c r="I10" s="26">
        <v>12.3</v>
      </c>
      <c r="J10" s="26">
        <v>9</v>
      </c>
      <c r="K10" s="26">
        <v>16.3</v>
      </c>
      <c r="L10" s="26">
        <v>7.7</v>
      </c>
      <c r="M10" s="26">
        <v>9.9</v>
      </c>
      <c r="N10" s="26">
        <v>7.6</v>
      </c>
      <c r="O10" s="26">
        <v>2.6</v>
      </c>
      <c r="P10" s="26">
        <v>8.1999999999999993</v>
      </c>
      <c r="Q10" s="26">
        <v>0.8</v>
      </c>
      <c r="R10" s="26">
        <v>7.9</v>
      </c>
      <c r="S10" s="26">
        <v>8.1</v>
      </c>
      <c r="T10" s="26">
        <v>7.7</v>
      </c>
      <c r="U10" s="26">
        <v>8</v>
      </c>
      <c r="V10" s="26">
        <v>8.1999999999999993</v>
      </c>
      <c r="W10" s="26">
        <v>6.8</v>
      </c>
      <c r="X10" s="26">
        <v>3.7</v>
      </c>
      <c r="Y10" s="26">
        <v>5.9</v>
      </c>
      <c r="Z10" s="26">
        <v>8</v>
      </c>
      <c r="AA10" s="26">
        <v>5.9</v>
      </c>
      <c r="AB10" s="26">
        <v>9</v>
      </c>
      <c r="AC10" s="26">
        <v>10.4</v>
      </c>
      <c r="AD10" s="26">
        <v>7.1</v>
      </c>
      <c r="AE10" s="26">
        <v>6.5</v>
      </c>
      <c r="AF10" s="26">
        <v>0.4</v>
      </c>
      <c r="AG10" s="26">
        <v>0.3</v>
      </c>
      <c r="AH10" s="26">
        <v>10.4</v>
      </c>
      <c r="AI10" s="26">
        <v>9</v>
      </c>
      <c r="AJ10" s="26">
        <v>8.6</v>
      </c>
      <c r="AK10" s="25">
        <v>12.1</v>
      </c>
      <c r="AL10" s="25">
        <v>3.6</v>
      </c>
      <c r="AM10" s="25">
        <v>2.2999999999999998</v>
      </c>
      <c r="AN10" s="26">
        <v>11.7</v>
      </c>
      <c r="AO10" s="26">
        <v>3.3</v>
      </c>
      <c r="AP10" s="26">
        <v>10</v>
      </c>
      <c r="AQ10" s="26">
        <v>0.7</v>
      </c>
      <c r="AR10" s="26">
        <v>10.1</v>
      </c>
      <c r="AS10" s="26">
        <v>5.7</v>
      </c>
      <c r="AT10" s="26">
        <v>9.6999999999999993</v>
      </c>
      <c r="AU10" s="26">
        <v>18.399999999999999</v>
      </c>
      <c r="AV10" s="26">
        <v>6.2</v>
      </c>
      <c r="AW10" s="26">
        <v>17.2</v>
      </c>
      <c r="AX10" s="26">
        <v>7.7</v>
      </c>
      <c r="AY10" s="26">
        <v>6.4</v>
      </c>
      <c r="AZ10" s="26">
        <v>8.1999999999999993</v>
      </c>
      <c r="BA10" s="26">
        <v>9.4</v>
      </c>
      <c r="BB10" s="26">
        <v>7.5</v>
      </c>
      <c r="BC10" s="26">
        <v>9.5</v>
      </c>
      <c r="BD10" s="26">
        <v>8.1999999999999993</v>
      </c>
      <c r="BE10" s="26">
        <v>13.8</v>
      </c>
      <c r="BF10" s="26">
        <v>7.8</v>
      </c>
      <c r="BG10" s="26">
        <v>11.6</v>
      </c>
      <c r="BH10" s="26">
        <v>8</v>
      </c>
      <c r="BI10" s="26">
        <v>8</v>
      </c>
      <c r="BJ10" s="26">
        <v>6.9</v>
      </c>
      <c r="BK10" s="26">
        <v>2.6</v>
      </c>
      <c r="BL10" s="26">
        <v>7.1</v>
      </c>
      <c r="BM10" s="26">
        <v>1.4</v>
      </c>
      <c r="BN10" s="26">
        <v>8.6</v>
      </c>
      <c r="BO10" s="26">
        <v>0.7</v>
      </c>
      <c r="BP10" s="26">
        <v>4.3</v>
      </c>
      <c r="BQ10" s="26">
        <v>10.5</v>
      </c>
      <c r="BR10" s="26">
        <v>5.5</v>
      </c>
      <c r="BS10" s="26">
        <v>17</v>
      </c>
      <c r="BT10" s="26">
        <v>11.9</v>
      </c>
      <c r="BU10" s="26">
        <v>7.1</v>
      </c>
      <c r="BV10" s="26">
        <v>8.6999999999999993</v>
      </c>
      <c r="BW10" s="26">
        <v>5.8</v>
      </c>
      <c r="BX10" s="26">
        <v>9.4</v>
      </c>
      <c r="BY10" s="26">
        <v>9.3000000000000007</v>
      </c>
      <c r="BZ10" s="26">
        <v>7.4</v>
      </c>
      <c r="CA10" s="26">
        <v>8.6</v>
      </c>
      <c r="CB10" s="26">
        <v>9.4</v>
      </c>
      <c r="CC10" s="26">
        <v>16.100000000000001</v>
      </c>
      <c r="CD10" s="26">
        <v>8.3000000000000007</v>
      </c>
      <c r="CE10" s="26">
        <v>13</v>
      </c>
      <c r="CF10" s="26">
        <v>8.6999999999999993</v>
      </c>
      <c r="CG10" s="26">
        <v>6.8</v>
      </c>
      <c r="CH10" s="26">
        <v>7.1</v>
      </c>
      <c r="CI10" s="26">
        <v>1.8</v>
      </c>
      <c r="CJ10" s="26">
        <v>9.3000000000000007</v>
      </c>
      <c r="CK10" s="26">
        <v>1.4</v>
      </c>
      <c r="CL10" s="26">
        <v>8.8000000000000007</v>
      </c>
      <c r="CM10" s="26">
        <v>1.3</v>
      </c>
      <c r="CN10" s="26">
        <v>6.8</v>
      </c>
      <c r="CO10" s="26">
        <v>5</v>
      </c>
      <c r="CP10" s="26">
        <v>8.8000000000000007</v>
      </c>
      <c r="CQ10" s="26">
        <v>16.3</v>
      </c>
      <c r="CR10" s="26">
        <v>6</v>
      </c>
      <c r="CS10" s="26">
        <v>11</v>
      </c>
      <c r="CT10" s="26">
        <v>8</v>
      </c>
      <c r="CU10" s="26">
        <v>5.4</v>
      </c>
      <c r="CV10" s="26">
        <v>10</v>
      </c>
      <c r="CW10" s="26">
        <v>12.5</v>
      </c>
      <c r="CX10" s="26">
        <v>10</v>
      </c>
      <c r="CY10" s="26">
        <v>12.5</v>
      </c>
      <c r="CZ10" s="26">
        <v>9</v>
      </c>
      <c r="DA10" s="26">
        <v>13.8</v>
      </c>
      <c r="DB10" s="26">
        <v>7.8</v>
      </c>
      <c r="DC10" s="26">
        <v>7.5</v>
      </c>
      <c r="DD10" s="26">
        <v>7.7</v>
      </c>
      <c r="DE10" s="26">
        <v>5.4</v>
      </c>
      <c r="DF10" s="26">
        <v>7.8</v>
      </c>
      <c r="DG10" s="26">
        <v>3.3</v>
      </c>
      <c r="DH10" s="26">
        <v>8.1</v>
      </c>
      <c r="DI10" s="26">
        <v>2.1</v>
      </c>
      <c r="DJ10" s="26">
        <v>7</v>
      </c>
      <c r="DK10" s="26">
        <v>10.6</v>
      </c>
      <c r="DL10" s="26">
        <v>7.4</v>
      </c>
      <c r="DM10" s="26">
        <v>11.8</v>
      </c>
      <c r="DN10" s="26">
        <v>12.1</v>
      </c>
      <c r="DO10" s="26">
        <v>12.2</v>
      </c>
      <c r="DP10" s="26">
        <v>3.5</v>
      </c>
      <c r="DQ10" s="26">
        <v>5.4</v>
      </c>
      <c r="DR10" s="26">
        <v>7.2</v>
      </c>
      <c r="DS10" s="26">
        <v>7.2</v>
      </c>
      <c r="DT10" s="26">
        <v>8.8000000000000007</v>
      </c>
      <c r="DU10" s="26">
        <v>7.1</v>
      </c>
      <c r="DV10" s="26">
        <v>6.5</v>
      </c>
      <c r="DW10" s="26">
        <v>6.9</v>
      </c>
      <c r="DX10" s="26">
        <v>7.1</v>
      </c>
      <c r="DY10" s="26">
        <v>9.4</v>
      </c>
      <c r="DZ10" s="26">
        <v>7.6</v>
      </c>
      <c r="EA10" s="26">
        <v>9.4</v>
      </c>
      <c r="EB10" s="26">
        <v>8</v>
      </c>
      <c r="EC10" s="26">
        <v>5.6</v>
      </c>
      <c r="ED10" s="26">
        <v>7.4</v>
      </c>
      <c r="EE10" s="26">
        <v>5</v>
      </c>
      <c r="EF10" s="26">
        <v>7.3</v>
      </c>
      <c r="EG10" s="26">
        <v>7</v>
      </c>
      <c r="EH10" s="26">
        <v>8.1999999999999993</v>
      </c>
      <c r="EI10" s="26">
        <v>6.9</v>
      </c>
      <c r="EJ10" s="26">
        <v>7.7</v>
      </c>
      <c r="EK10" s="26">
        <v>9</v>
      </c>
      <c r="EL10" s="26">
        <v>7.4</v>
      </c>
      <c r="EM10" s="26">
        <v>8.9</v>
      </c>
      <c r="EN10" s="26">
        <v>7</v>
      </c>
      <c r="EO10" s="26">
        <v>5.8</v>
      </c>
      <c r="EP10" s="26">
        <v>7.4</v>
      </c>
      <c r="EQ10" s="26">
        <v>5.5</v>
      </c>
      <c r="ER10" s="26">
        <v>8.1</v>
      </c>
      <c r="ES10" s="26">
        <v>6.7</v>
      </c>
      <c r="ET10" s="26">
        <v>7.5</v>
      </c>
      <c r="EU10" s="26">
        <v>8.1999999999999993</v>
      </c>
      <c r="EV10" s="26">
        <v>8.8000000000000007</v>
      </c>
      <c r="EW10" s="26">
        <v>10</v>
      </c>
      <c r="EX10" s="26">
        <v>7.2</v>
      </c>
      <c r="EY10" s="26">
        <v>6.6</v>
      </c>
      <c r="EZ10" s="26">
        <v>7.9</v>
      </c>
      <c r="FA10" s="26">
        <v>3.8</v>
      </c>
      <c r="FB10" s="26">
        <v>7.8</v>
      </c>
      <c r="FC10" s="26">
        <v>5.8</v>
      </c>
      <c r="FD10" s="26">
        <v>7.5</v>
      </c>
      <c r="FE10" s="26">
        <v>8</v>
      </c>
      <c r="FF10" s="26">
        <v>7.6</v>
      </c>
      <c r="FG10" s="26">
        <v>8.5</v>
      </c>
      <c r="FH10" s="26">
        <v>7</v>
      </c>
      <c r="FI10" s="26">
        <v>8.1999999999999993</v>
      </c>
      <c r="FJ10" s="26">
        <v>6</v>
      </c>
      <c r="FK10" s="26">
        <v>6.7</v>
      </c>
      <c r="FL10" s="26">
        <v>11.3</v>
      </c>
      <c r="FM10" s="26">
        <v>16.2</v>
      </c>
      <c r="FN10" s="26">
        <v>8</v>
      </c>
      <c r="FO10" s="26">
        <v>5.4</v>
      </c>
      <c r="FP10" s="26">
        <v>8.1</v>
      </c>
      <c r="FQ10" s="26">
        <v>6.7</v>
      </c>
      <c r="FR10" s="26">
        <v>7.5</v>
      </c>
      <c r="FS10" s="26">
        <v>8.1999999999999993</v>
      </c>
      <c r="FT10" s="40">
        <v>5.76</v>
      </c>
      <c r="FU10" s="40">
        <v>5.4</v>
      </c>
      <c r="FV10" s="26">
        <v>7.2</v>
      </c>
      <c r="FW10" s="26">
        <v>6.6</v>
      </c>
      <c r="FX10" s="26">
        <v>9</v>
      </c>
      <c r="FY10" s="26">
        <v>5.4</v>
      </c>
      <c r="FZ10" s="26">
        <v>7.8</v>
      </c>
      <c r="GA10" s="26">
        <v>4.2</v>
      </c>
    </row>
    <row r="11" spans="1:278" x14ac:dyDescent="0.3">
      <c r="A11" s="36" t="s">
        <v>18</v>
      </c>
      <c r="B11" s="41"/>
      <c r="C11" s="25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5"/>
      <c r="AL11" s="25"/>
      <c r="AM11" s="25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>
        <v>8.6</v>
      </c>
      <c r="CU11" s="26">
        <v>8.8000000000000007</v>
      </c>
      <c r="CV11" s="26">
        <v>8.9</v>
      </c>
      <c r="CW11" s="26">
        <v>8.6999999999999993</v>
      </c>
      <c r="CX11" s="26">
        <v>8.9</v>
      </c>
      <c r="CY11" s="26">
        <v>8.6999999999999993</v>
      </c>
      <c r="CZ11" s="26">
        <v>9.8000000000000007</v>
      </c>
      <c r="DA11" s="26">
        <v>10.7</v>
      </c>
      <c r="DB11" s="26">
        <v>7.4</v>
      </c>
      <c r="DC11" s="26">
        <v>8.5</v>
      </c>
      <c r="DD11" s="26">
        <v>8.3000000000000007</v>
      </c>
      <c r="DE11" s="26">
        <v>14.6</v>
      </c>
      <c r="DF11" s="26">
        <v>8.9</v>
      </c>
      <c r="DG11" s="26">
        <v>2</v>
      </c>
      <c r="DH11" s="26">
        <v>8.3000000000000007</v>
      </c>
      <c r="DI11" s="26">
        <v>0.4</v>
      </c>
      <c r="DJ11" s="26">
        <v>7.5</v>
      </c>
      <c r="DK11" s="26">
        <v>8.5</v>
      </c>
      <c r="DL11" s="26">
        <v>6.9</v>
      </c>
      <c r="DM11" s="26">
        <v>9.4</v>
      </c>
      <c r="DN11" s="26">
        <v>9.6</v>
      </c>
      <c r="DO11" s="26">
        <v>9.1999999999999993</v>
      </c>
      <c r="DP11" s="26">
        <v>6.8</v>
      </c>
      <c r="DQ11" s="26">
        <v>8.5</v>
      </c>
      <c r="DR11" s="26">
        <v>6.9</v>
      </c>
      <c r="DS11" s="26">
        <v>7.8</v>
      </c>
      <c r="DT11" s="26">
        <v>8.1</v>
      </c>
      <c r="DU11" s="26">
        <v>7.3</v>
      </c>
      <c r="DV11" s="26">
        <v>7.4</v>
      </c>
      <c r="DW11" s="26">
        <v>7.3</v>
      </c>
      <c r="DX11" s="26">
        <v>8.3000000000000007</v>
      </c>
      <c r="DY11" s="26">
        <v>9.6999999999999993</v>
      </c>
      <c r="DZ11" s="26">
        <v>7.5</v>
      </c>
      <c r="EA11" s="26">
        <v>7.8</v>
      </c>
      <c r="EB11" s="26">
        <v>8.6</v>
      </c>
      <c r="EC11" s="26">
        <v>7.5</v>
      </c>
      <c r="ED11" s="26">
        <v>8.5</v>
      </c>
      <c r="EE11" s="26">
        <v>7.7</v>
      </c>
      <c r="EF11" s="26">
        <v>7.3</v>
      </c>
      <c r="EG11" s="26">
        <v>7.5</v>
      </c>
      <c r="EH11" s="26">
        <v>7</v>
      </c>
      <c r="EI11" s="26">
        <v>7.3</v>
      </c>
      <c r="EJ11" s="26">
        <v>7</v>
      </c>
      <c r="EK11" s="26">
        <v>7.2</v>
      </c>
      <c r="EL11" s="26">
        <v>8</v>
      </c>
      <c r="EM11" s="26">
        <v>9.6999999999999993</v>
      </c>
      <c r="EN11" s="26">
        <v>8</v>
      </c>
      <c r="EO11" s="26">
        <v>8.4</v>
      </c>
      <c r="EP11" s="26">
        <v>6.5</v>
      </c>
      <c r="EQ11" s="26">
        <v>6.6</v>
      </c>
      <c r="ER11" s="26">
        <v>6.1</v>
      </c>
      <c r="ES11" s="26">
        <v>5.7</v>
      </c>
      <c r="ET11" s="26">
        <v>7.3</v>
      </c>
      <c r="EU11" s="26">
        <v>7.5</v>
      </c>
      <c r="EV11" s="26">
        <v>8.8000000000000007</v>
      </c>
      <c r="EW11" s="26">
        <v>8.6</v>
      </c>
      <c r="EX11" s="26">
        <v>7.2</v>
      </c>
      <c r="EY11" s="26">
        <v>7.9</v>
      </c>
      <c r="EZ11" s="26">
        <v>9</v>
      </c>
      <c r="FA11" s="26">
        <v>5.4</v>
      </c>
      <c r="FB11" s="26">
        <v>7.6</v>
      </c>
      <c r="FC11" s="26">
        <v>7.5</v>
      </c>
      <c r="FD11" s="26">
        <v>6.9</v>
      </c>
      <c r="FE11" s="26">
        <v>8.6</v>
      </c>
      <c r="FF11" s="26">
        <v>7</v>
      </c>
      <c r="FG11" s="26">
        <v>7.5</v>
      </c>
      <c r="FH11" s="26">
        <v>7</v>
      </c>
      <c r="FI11" s="26">
        <v>8.3000000000000007</v>
      </c>
      <c r="FJ11" s="26">
        <v>6.8</v>
      </c>
      <c r="FK11" s="26">
        <v>7.3</v>
      </c>
      <c r="FL11" s="26">
        <v>9.6</v>
      </c>
      <c r="FM11" s="26">
        <v>9.6999999999999993</v>
      </c>
      <c r="FN11" s="26">
        <v>8.6</v>
      </c>
      <c r="FO11" s="26">
        <v>8.8000000000000007</v>
      </c>
      <c r="FP11" s="26">
        <v>6.1</v>
      </c>
      <c r="FQ11" s="26">
        <v>5.7</v>
      </c>
      <c r="FR11" s="26">
        <v>7.3</v>
      </c>
      <c r="FS11" s="26">
        <v>7.5</v>
      </c>
      <c r="FT11" s="40">
        <v>6.28</v>
      </c>
      <c r="FU11" s="40">
        <v>6.2</v>
      </c>
      <c r="FV11" s="26">
        <v>7.2</v>
      </c>
      <c r="FW11" s="26">
        <v>7.2</v>
      </c>
      <c r="FX11" s="26">
        <v>9.8000000000000007</v>
      </c>
      <c r="FY11" s="26">
        <v>5.4</v>
      </c>
      <c r="FZ11" s="26">
        <v>8.9</v>
      </c>
      <c r="GA11" s="26">
        <v>2</v>
      </c>
    </row>
    <row r="12" spans="1:278" x14ac:dyDescent="0.3">
      <c r="A12" s="36" t="s">
        <v>6</v>
      </c>
      <c r="B12" s="41">
        <v>9.512341962673089</v>
      </c>
      <c r="C12" s="25">
        <v>8.9</v>
      </c>
      <c r="D12" s="26">
        <v>11.1</v>
      </c>
      <c r="E12" s="26">
        <v>10.5</v>
      </c>
      <c r="F12" s="26">
        <v>6.5</v>
      </c>
      <c r="G12" s="26">
        <v>4.8</v>
      </c>
      <c r="H12" s="26">
        <v>13.9</v>
      </c>
      <c r="I12" s="26">
        <v>12.9</v>
      </c>
      <c r="J12" s="26">
        <v>6.9</v>
      </c>
      <c r="K12" s="26">
        <v>9</v>
      </c>
      <c r="L12" s="26">
        <v>6.7</v>
      </c>
      <c r="M12" s="26">
        <v>4.0999999999999996</v>
      </c>
      <c r="N12" s="26">
        <v>7.1</v>
      </c>
      <c r="O12" s="26">
        <v>1.7</v>
      </c>
      <c r="P12" s="26">
        <v>5.5</v>
      </c>
      <c r="Q12" s="26">
        <v>0.4</v>
      </c>
      <c r="R12" s="26">
        <v>6.6</v>
      </c>
      <c r="S12" s="26">
        <v>12.4</v>
      </c>
      <c r="T12" s="26">
        <v>8.1999999999999993</v>
      </c>
      <c r="U12" s="26">
        <v>14.8</v>
      </c>
      <c r="V12" s="26">
        <v>8.1999999999999993</v>
      </c>
      <c r="W12" s="26">
        <v>7.6</v>
      </c>
      <c r="X12" s="26">
        <v>5.7</v>
      </c>
      <c r="Y12" s="26">
        <v>11.3</v>
      </c>
      <c r="Z12" s="26">
        <v>8.1999999999999993</v>
      </c>
      <c r="AA12" s="26">
        <v>8.9</v>
      </c>
      <c r="AB12" s="26">
        <v>7.4</v>
      </c>
      <c r="AC12" s="26">
        <v>9.9</v>
      </c>
      <c r="AD12" s="26">
        <v>6.3</v>
      </c>
      <c r="AE12" s="26">
        <v>5.8</v>
      </c>
      <c r="AF12" s="26">
        <v>0.4</v>
      </c>
      <c r="AG12" s="26">
        <v>0.2</v>
      </c>
      <c r="AH12" s="26">
        <v>6.6</v>
      </c>
      <c r="AI12" s="26">
        <v>3.3</v>
      </c>
      <c r="AJ12" s="26">
        <v>3.8</v>
      </c>
      <c r="AK12" s="25">
        <v>2</v>
      </c>
      <c r="AL12" s="25">
        <v>0.7</v>
      </c>
      <c r="AM12" s="25">
        <v>0.2</v>
      </c>
      <c r="AN12" s="26">
        <v>11.7</v>
      </c>
      <c r="AO12" s="26">
        <v>0.4</v>
      </c>
      <c r="AP12" s="26">
        <v>11.1</v>
      </c>
      <c r="AQ12" s="26">
        <v>0.9</v>
      </c>
      <c r="AR12" s="26">
        <v>10.6</v>
      </c>
      <c r="AS12" s="26">
        <v>29.7</v>
      </c>
      <c r="AT12" s="26">
        <v>9.1999999999999993</v>
      </c>
      <c r="AU12" s="26">
        <v>20.399999999999999</v>
      </c>
      <c r="AV12" s="26">
        <v>9.6</v>
      </c>
      <c r="AW12" s="26">
        <v>14.6</v>
      </c>
      <c r="AX12" s="26">
        <v>6.1</v>
      </c>
      <c r="AY12" s="26">
        <v>7.1</v>
      </c>
      <c r="AZ12" s="26">
        <v>6.1</v>
      </c>
      <c r="BA12" s="26">
        <v>7.4</v>
      </c>
      <c r="BB12" s="26">
        <v>6.2</v>
      </c>
      <c r="BC12" s="26">
        <v>9.9</v>
      </c>
      <c r="BD12" s="26">
        <v>7.6</v>
      </c>
      <c r="BE12" s="26">
        <v>10.7</v>
      </c>
      <c r="BF12" s="26">
        <v>7.1</v>
      </c>
      <c r="BG12" s="26">
        <v>9.3000000000000007</v>
      </c>
      <c r="BH12" s="26">
        <v>7.9</v>
      </c>
      <c r="BI12" s="26">
        <v>5.6</v>
      </c>
      <c r="BJ12" s="26">
        <v>6.3</v>
      </c>
      <c r="BK12" s="26">
        <v>1.6</v>
      </c>
      <c r="BL12" s="26">
        <v>7.5</v>
      </c>
      <c r="BM12" s="26">
        <v>0.3</v>
      </c>
      <c r="BN12" s="26">
        <v>8</v>
      </c>
      <c r="BO12" s="26">
        <v>0.5</v>
      </c>
      <c r="BP12" s="26">
        <v>8.3000000000000007</v>
      </c>
      <c r="BQ12" s="26">
        <v>16</v>
      </c>
      <c r="BR12" s="26">
        <v>7.9</v>
      </c>
      <c r="BS12" s="26">
        <v>14.6</v>
      </c>
      <c r="BT12" s="26">
        <v>10.9</v>
      </c>
      <c r="BU12" s="26">
        <v>16.7</v>
      </c>
      <c r="BV12" s="26">
        <v>7</v>
      </c>
      <c r="BW12" s="26">
        <v>8</v>
      </c>
      <c r="BX12" s="26">
        <v>11.7</v>
      </c>
      <c r="BY12" s="26">
        <v>14</v>
      </c>
      <c r="BZ12" s="26">
        <v>6.8</v>
      </c>
      <c r="CA12" s="26">
        <v>10.4</v>
      </c>
      <c r="CB12" s="26">
        <v>10.7</v>
      </c>
      <c r="CC12" s="26">
        <v>11.1</v>
      </c>
      <c r="CD12" s="26">
        <v>7.5</v>
      </c>
      <c r="CE12" s="26">
        <v>9.1</v>
      </c>
      <c r="CF12" s="26">
        <v>9.8000000000000007</v>
      </c>
      <c r="CG12" s="26">
        <v>5.4</v>
      </c>
      <c r="CH12" s="26">
        <v>10.1</v>
      </c>
      <c r="CI12" s="26">
        <v>2</v>
      </c>
      <c r="CJ12" s="26">
        <v>9</v>
      </c>
      <c r="CK12" s="26">
        <v>0.5</v>
      </c>
      <c r="CL12" s="26">
        <v>8.1999999999999993</v>
      </c>
      <c r="CM12" s="26">
        <v>0.3</v>
      </c>
      <c r="CN12" s="26">
        <v>7.1</v>
      </c>
      <c r="CO12" s="26">
        <v>13</v>
      </c>
      <c r="CP12" s="26">
        <v>9.3000000000000007</v>
      </c>
      <c r="CQ12" s="26">
        <v>20.3</v>
      </c>
      <c r="CR12" s="26">
        <v>1.8</v>
      </c>
      <c r="CS12" s="26">
        <v>13</v>
      </c>
      <c r="CT12" s="26">
        <v>7.3</v>
      </c>
      <c r="CU12" s="26">
        <v>9.1</v>
      </c>
      <c r="CV12" s="26">
        <v>8.5</v>
      </c>
      <c r="CW12" s="26">
        <v>10.4</v>
      </c>
      <c r="CX12" s="26">
        <v>8.5</v>
      </c>
      <c r="CY12" s="26">
        <v>10.4</v>
      </c>
      <c r="CZ12" s="26">
        <v>9.9</v>
      </c>
      <c r="DA12" s="26">
        <v>11.7</v>
      </c>
      <c r="DB12" s="26">
        <v>8.6</v>
      </c>
      <c r="DC12" s="26">
        <v>6.6</v>
      </c>
      <c r="DD12" s="26">
        <v>9</v>
      </c>
      <c r="DE12" s="26">
        <v>4.9000000000000004</v>
      </c>
      <c r="DF12" s="26">
        <v>8.5</v>
      </c>
      <c r="DG12" s="26">
        <v>1.7</v>
      </c>
      <c r="DH12" s="26">
        <v>8.4</v>
      </c>
      <c r="DI12" s="26">
        <v>0.6</v>
      </c>
      <c r="DJ12" s="26">
        <v>8.5</v>
      </c>
      <c r="DK12" s="26">
        <v>20.2</v>
      </c>
      <c r="DL12" s="26">
        <v>6.9</v>
      </c>
      <c r="DM12" s="26">
        <v>14.3</v>
      </c>
      <c r="DN12" s="26">
        <v>11.7</v>
      </c>
      <c r="DO12" s="26">
        <v>11.9</v>
      </c>
      <c r="DP12" s="26">
        <v>2.5</v>
      </c>
      <c r="DQ12" s="26">
        <v>5</v>
      </c>
      <c r="DR12" s="26">
        <v>6.7</v>
      </c>
      <c r="DS12" s="26">
        <v>6.4</v>
      </c>
      <c r="DT12" s="26">
        <v>7.4</v>
      </c>
      <c r="DU12" s="26">
        <v>7</v>
      </c>
      <c r="DV12" s="26">
        <v>5.4</v>
      </c>
      <c r="DW12" s="26">
        <v>6.3</v>
      </c>
      <c r="DX12" s="26">
        <v>7.6</v>
      </c>
      <c r="DY12" s="26">
        <v>7.4</v>
      </c>
      <c r="DZ12" s="26">
        <v>6.7</v>
      </c>
      <c r="EA12" s="26">
        <v>7.8</v>
      </c>
      <c r="EB12" s="26">
        <v>9.5</v>
      </c>
      <c r="EC12" s="26">
        <v>5.8</v>
      </c>
      <c r="ED12" s="26">
        <v>8.4</v>
      </c>
      <c r="EE12" s="26">
        <v>4.8</v>
      </c>
      <c r="EF12" s="26">
        <v>9.4</v>
      </c>
      <c r="EG12" s="26">
        <v>4.5999999999999996</v>
      </c>
      <c r="EH12" s="26">
        <v>8.1</v>
      </c>
      <c r="EI12" s="26">
        <v>16.100000000000001</v>
      </c>
      <c r="EJ12" s="26">
        <v>7.3</v>
      </c>
      <c r="EK12" s="26">
        <v>12.8</v>
      </c>
      <c r="EL12" s="26">
        <v>9.5</v>
      </c>
      <c r="EM12" s="26">
        <v>10.4</v>
      </c>
      <c r="EN12" s="26">
        <v>8.6999999999999993</v>
      </c>
      <c r="EO12" s="26">
        <v>8.3000000000000007</v>
      </c>
      <c r="EP12" s="26">
        <v>8.5</v>
      </c>
      <c r="EQ12" s="26">
        <v>8.1999999999999993</v>
      </c>
      <c r="ER12" s="26">
        <v>7.2</v>
      </c>
      <c r="ES12" s="26">
        <v>7.1</v>
      </c>
      <c r="ET12" s="26">
        <v>7.1</v>
      </c>
      <c r="EU12" s="26">
        <v>6.3</v>
      </c>
      <c r="EV12" s="26">
        <v>9</v>
      </c>
      <c r="EW12" s="26">
        <v>10.5</v>
      </c>
      <c r="EX12" s="26">
        <v>7.9</v>
      </c>
      <c r="EY12" s="26">
        <v>7.9</v>
      </c>
      <c r="EZ12" s="26">
        <v>7.3</v>
      </c>
      <c r="FA12" s="26">
        <v>2.4</v>
      </c>
      <c r="FB12" s="26">
        <v>8.4</v>
      </c>
      <c r="FC12" s="26">
        <v>4.0999999999999996</v>
      </c>
      <c r="FD12" s="26">
        <v>7.7</v>
      </c>
      <c r="FE12" s="26">
        <v>4.4000000000000004</v>
      </c>
      <c r="FF12" s="26">
        <v>6.1</v>
      </c>
      <c r="FG12" s="26">
        <v>18.2</v>
      </c>
      <c r="FH12" s="26">
        <v>6.6</v>
      </c>
      <c r="FI12" s="26">
        <v>10.7</v>
      </c>
      <c r="FJ12" s="26">
        <v>7.6</v>
      </c>
      <c r="FK12" s="26">
        <v>10.3</v>
      </c>
      <c r="FL12" s="26">
        <v>6.9</v>
      </c>
      <c r="FM12" s="26">
        <v>7.9</v>
      </c>
      <c r="FN12" s="26">
        <v>7.3</v>
      </c>
      <c r="FO12" s="26">
        <v>9.1</v>
      </c>
      <c r="FP12" s="26">
        <v>7.2</v>
      </c>
      <c r="FQ12" s="26">
        <v>7.1</v>
      </c>
      <c r="FR12" s="26">
        <v>7.1</v>
      </c>
      <c r="FS12" s="26">
        <v>6.3</v>
      </c>
      <c r="FT12" s="40">
        <v>5.84</v>
      </c>
      <c r="FU12" s="40">
        <v>5.92</v>
      </c>
      <c r="FV12" s="26">
        <v>7.9</v>
      </c>
      <c r="FW12" s="26">
        <v>7.2</v>
      </c>
      <c r="FX12" s="26">
        <v>9.1</v>
      </c>
      <c r="FY12" s="26">
        <v>9.1</v>
      </c>
      <c r="FZ12" s="26">
        <v>8.5</v>
      </c>
      <c r="GA12" s="26">
        <v>1.7</v>
      </c>
    </row>
    <row r="13" spans="1:278" x14ac:dyDescent="0.3">
      <c r="A13" s="36" t="s">
        <v>7</v>
      </c>
      <c r="B13" s="41">
        <v>9.7434906526254768</v>
      </c>
      <c r="C13" s="25">
        <v>11.2</v>
      </c>
      <c r="D13" s="26">
        <v>8.4</v>
      </c>
      <c r="E13" s="26">
        <v>9</v>
      </c>
      <c r="F13" s="26">
        <v>7.5</v>
      </c>
      <c r="G13" s="26">
        <v>7.2</v>
      </c>
      <c r="H13" s="26">
        <v>9.6</v>
      </c>
      <c r="I13" s="26">
        <v>11.6</v>
      </c>
      <c r="J13" s="26">
        <v>7.7</v>
      </c>
      <c r="K13" s="26">
        <v>10.5</v>
      </c>
      <c r="L13" s="26">
        <v>8.8000000000000007</v>
      </c>
      <c r="M13" s="26">
        <v>12.6</v>
      </c>
      <c r="N13" s="26">
        <v>8.1</v>
      </c>
      <c r="O13" s="26">
        <v>4.5999999999999996</v>
      </c>
      <c r="P13" s="26">
        <v>7.7</v>
      </c>
      <c r="Q13" s="26">
        <v>1.9</v>
      </c>
      <c r="R13" s="26">
        <v>7.5</v>
      </c>
      <c r="S13" s="26">
        <v>14.1</v>
      </c>
      <c r="T13" s="26">
        <v>7.7</v>
      </c>
      <c r="U13" s="26">
        <v>3.4</v>
      </c>
      <c r="V13" s="26">
        <v>6.6</v>
      </c>
      <c r="W13" s="26">
        <v>5.7</v>
      </c>
      <c r="X13" s="26">
        <v>6.5</v>
      </c>
      <c r="Y13" s="26">
        <v>6.9</v>
      </c>
      <c r="Z13" s="26">
        <v>6.8</v>
      </c>
      <c r="AA13" s="26">
        <v>5.7</v>
      </c>
      <c r="AB13" s="26">
        <v>7.8</v>
      </c>
      <c r="AC13" s="26">
        <v>8.1</v>
      </c>
      <c r="AD13" s="26">
        <v>4.2</v>
      </c>
      <c r="AE13" s="26">
        <v>4.7</v>
      </c>
      <c r="AF13" s="26">
        <v>0</v>
      </c>
      <c r="AG13" s="26">
        <v>0</v>
      </c>
      <c r="AH13" s="26">
        <v>7.6</v>
      </c>
      <c r="AI13" s="26">
        <v>9.1</v>
      </c>
      <c r="AJ13" s="26">
        <v>8.1</v>
      </c>
      <c r="AK13" s="25">
        <v>16.3</v>
      </c>
      <c r="AL13" s="25">
        <v>2.7</v>
      </c>
      <c r="AM13" s="25">
        <v>2.4</v>
      </c>
      <c r="AN13" s="26">
        <v>11.7</v>
      </c>
      <c r="AO13" s="26">
        <v>2.2000000000000002</v>
      </c>
      <c r="AP13" s="26">
        <v>9.6999999999999993</v>
      </c>
      <c r="AQ13" s="26">
        <v>2.6</v>
      </c>
      <c r="AR13" s="26">
        <v>10.7</v>
      </c>
      <c r="AS13" s="26">
        <v>13.5</v>
      </c>
      <c r="AT13" s="26">
        <v>10.7</v>
      </c>
      <c r="AU13" s="26">
        <v>14.5</v>
      </c>
      <c r="AV13" s="26">
        <v>8.5</v>
      </c>
      <c r="AW13" s="26">
        <v>8.1</v>
      </c>
      <c r="AX13" s="26">
        <v>6.6</v>
      </c>
      <c r="AY13" s="26">
        <v>5</v>
      </c>
      <c r="AZ13" s="26">
        <v>7.4</v>
      </c>
      <c r="BA13" s="26">
        <v>7.3</v>
      </c>
      <c r="BB13" s="26">
        <v>8.1</v>
      </c>
      <c r="BC13" s="26">
        <v>8.5</v>
      </c>
      <c r="BD13" s="26">
        <v>8.6</v>
      </c>
      <c r="BE13" s="26">
        <v>12.5</v>
      </c>
      <c r="BF13" s="26">
        <v>7.3</v>
      </c>
      <c r="BG13" s="26">
        <v>10.8</v>
      </c>
      <c r="BH13" s="26">
        <v>8.6</v>
      </c>
      <c r="BI13" s="26">
        <v>11.3</v>
      </c>
      <c r="BJ13" s="26">
        <v>4.9000000000000004</v>
      </c>
      <c r="BK13" s="26">
        <v>3.3</v>
      </c>
      <c r="BL13" s="26">
        <v>5.2</v>
      </c>
      <c r="BM13" s="26">
        <v>1.5</v>
      </c>
      <c r="BN13" s="26">
        <v>8.1999999999999993</v>
      </c>
      <c r="BO13" s="26">
        <v>3</v>
      </c>
      <c r="BP13" s="26">
        <v>8.9</v>
      </c>
      <c r="BQ13" s="26">
        <v>8.1999999999999993</v>
      </c>
      <c r="BR13" s="26">
        <v>8.8000000000000007</v>
      </c>
      <c r="BS13" s="26">
        <v>9.1</v>
      </c>
      <c r="BT13" s="26">
        <v>10.5</v>
      </c>
      <c r="BU13" s="26">
        <v>10.7</v>
      </c>
      <c r="BV13" s="26">
        <v>7.1</v>
      </c>
      <c r="BW13" s="26">
        <v>4.8</v>
      </c>
      <c r="BX13" s="26">
        <v>10.4</v>
      </c>
      <c r="BY13" s="26">
        <v>8.3000000000000007</v>
      </c>
      <c r="BZ13" s="26">
        <v>7.4</v>
      </c>
      <c r="CA13" s="26">
        <v>10.1</v>
      </c>
      <c r="CB13" s="26">
        <v>9.1</v>
      </c>
      <c r="CC13" s="26">
        <v>15.7</v>
      </c>
      <c r="CD13" s="26">
        <v>8.4</v>
      </c>
      <c r="CE13" s="26">
        <v>10.5</v>
      </c>
      <c r="CF13" s="26">
        <v>9.1</v>
      </c>
      <c r="CG13" s="26">
        <v>9.1</v>
      </c>
      <c r="CH13" s="26">
        <v>8.3000000000000007</v>
      </c>
      <c r="CI13" s="26">
        <v>4.2</v>
      </c>
      <c r="CJ13" s="26">
        <v>8.8000000000000007</v>
      </c>
      <c r="CK13" s="26">
        <v>2.1</v>
      </c>
      <c r="CL13" s="26">
        <v>8.6</v>
      </c>
      <c r="CM13" s="26">
        <v>2.6</v>
      </c>
      <c r="CN13" s="26">
        <v>7.2</v>
      </c>
      <c r="CO13" s="26">
        <v>6.7</v>
      </c>
      <c r="CP13" s="26">
        <v>7.4</v>
      </c>
      <c r="CQ13" s="26">
        <v>10.7</v>
      </c>
      <c r="CR13" s="26">
        <v>6.9</v>
      </c>
      <c r="CS13" s="26">
        <v>8.1</v>
      </c>
      <c r="CT13" s="26">
        <v>7.6</v>
      </c>
      <c r="CU13" s="26">
        <v>6</v>
      </c>
      <c r="CV13" s="26">
        <v>7.3</v>
      </c>
      <c r="CW13" s="26">
        <v>8.9</v>
      </c>
      <c r="CX13" s="26">
        <v>7.3</v>
      </c>
      <c r="CY13" s="26">
        <v>8.9</v>
      </c>
      <c r="CZ13" s="26">
        <v>8.5</v>
      </c>
      <c r="DA13" s="26">
        <v>16.3</v>
      </c>
      <c r="DB13" s="26">
        <v>7.9</v>
      </c>
      <c r="DC13" s="26">
        <v>9.6999999999999993</v>
      </c>
      <c r="DD13" s="26">
        <v>8.6999999999999993</v>
      </c>
      <c r="DE13" s="26">
        <v>8.1</v>
      </c>
      <c r="DF13" s="26">
        <v>8.4</v>
      </c>
      <c r="DG13" s="26">
        <v>4.3</v>
      </c>
      <c r="DH13" s="26">
        <v>8.4</v>
      </c>
      <c r="DI13" s="26">
        <v>2</v>
      </c>
      <c r="DJ13" s="26">
        <v>8</v>
      </c>
      <c r="DK13" s="26">
        <v>6.1</v>
      </c>
      <c r="DL13" s="26">
        <v>7.3</v>
      </c>
      <c r="DM13" s="26">
        <v>10.9</v>
      </c>
      <c r="DN13" s="26">
        <v>12.8</v>
      </c>
      <c r="DO13" s="26">
        <v>13.3</v>
      </c>
      <c r="DP13" s="26">
        <v>7.1</v>
      </c>
      <c r="DQ13" s="26">
        <v>7</v>
      </c>
      <c r="DR13" s="26">
        <v>8</v>
      </c>
      <c r="DS13" s="26">
        <v>10.8</v>
      </c>
      <c r="DT13" s="26">
        <v>7.7</v>
      </c>
      <c r="DU13" s="26">
        <v>6</v>
      </c>
      <c r="DV13" s="26">
        <v>6.7</v>
      </c>
      <c r="DW13" s="26">
        <v>7.5</v>
      </c>
      <c r="DX13" s="26">
        <v>7.3</v>
      </c>
      <c r="DY13" s="26">
        <v>10.3</v>
      </c>
      <c r="DZ13" s="26">
        <v>7</v>
      </c>
      <c r="EA13" s="26">
        <v>7.2</v>
      </c>
      <c r="EB13" s="26">
        <v>7.4</v>
      </c>
      <c r="EC13" s="26">
        <v>7</v>
      </c>
      <c r="ED13" s="26">
        <v>7.2</v>
      </c>
      <c r="EE13" s="26">
        <v>6.3</v>
      </c>
      <c r="EF13" s="26">
        <v>8.3000000000000007</v>
      </c>
      <c r="EG13" s="26">
        <v>6.8</v>
      </c>
      <c r="EH13" s="26">
        <v>7.4</v>
      </c>
      <c r="EI13" s="26">
        <v>7</v>
      </c>
      <c r="EJ13" s="26">
        <v>8.3000000000000007</v>
      </c>
      <c r="EK13" s="26">
        <v>8.1999999999999993</v>
      </c>
      <c r="EL13" s="26">
        <v>8.1</v>
      </c>
      <c r="EM13" s="26">
        <v>7.9</v>
      </c>
      <c r="EN13" s="26">
        <v>6.8</v>
      </c>
      <c r="EO13" s="26">
        <v>6.7</v>
      </c>
      <c r="EP13" s="26">
        <v>7.2</v>
      </c>
      <c r="EQ13" s="26">
        <v>5.6</v>
      </c>
      <c r="ER13" s="26">
        <v>7.7</v>
      </c>
      <c r="ES13" s="26">
        <v>6.6</v>
      </c>
      <c r="ET13" s="26">
        <v>6.5</v>
      </c>
      <c r="EU13" s="26">
        <v>7.3</v>
      </c>
      <c r="EV13" s="26">
        <v>9</v>
      </c>
      <c r="EW13" s="26">
        <v>11.8</v>
      </c>
      <c r="EX13" s="26">
        <v>7.9</v>
      </c>
      <c r="EY13" s="26">
        <v>8.5</v>
      </c>
      <c r="EZ13" s="26">
        <v>9</v>
      </c>
      <c r="FA13" s="26">
        <v>1.6</v>
      </c>
      <c r="FB13" s="26">
        <v>9.4</v>
      </c>
      <c r="FC13" s="26">
        <v>8</v>
      </c>
      <c r="FD13" s="26">
        <v>8.4</v>
      </c>
      <c r="FE13" s="26">
        <v>6.9</v>
      </c>
      <c r="FF13" s="26">
        <v>7.8</v>
      </c>
      <c r="FG13" s="26">
        <v>6.6</v>
      </c>
      <c r="FH13" s="26">
        <v>7.9</v>
      </c>
      <c r="FI13" s="26">
        <v>8.3000000000000007</v>
      </c>
      <c r="FJ13" s="26">
        <v>6.3</v>
      </c>
      <c r="FK13" s="26">
        <v>6</v>
      </c>
      <c r="FL13" s="26">
        <v>9.9</v>
      </c>
      <c r="FM13" s="26">
        <v>11.7</v>
      </c>
      <c r="FN13" s="26">
        <v>7.6</v>
      </c>
      <c r="FO13" s="26">
        <v>6.1</v>
      </c>
      <c r="FP13" s="26">
        <v>7.2</v>
      </c>
      <c r="FQ13" s="26">
        <v>6.2</v>
      </c>
      <c r="FR13" s="26">
        <v>6.5</v>
      </c>
      <c r="FS13" s="26">
        <v>7.3</v>
      </c>
      <c r="FT13" s="40">
        <v>6.76</v>
      </c>
      <c r="FU13" s="40">
        <v>6.73</v>
      </c>
      <c r="FV13" s="26">
        <v>7.9</v>
      </c>
      <c r="FW13" s="26">
        <v>8.5</v>
      </c>
      <c r="FX13" s="26">
        <v>9.1999999999999993</v>
      </c>
      <c r="FY13" s="26">
        <v>9.6999999999999993</v>
      </c>
      <c r="FZ13" s="26">
        <v>8.4</v>
      </c>
      <c r="GA13" s="26">
        <v>4.3</v>
      </c>
    </row>
    <row r="14" spans="1:278" x14ac:dyDescent="0.3">
      <c r="A14" s="36" t="s">
        <v>8</v>
      </c>
      <c r="B14" s="41">
        <v>8.1854043392504927</v>
      </c>
      <c r="C14" s="25">
        <v>6.7</v>
      </c>
      <c r="D14" s="26">
        <v>8.3000000000000007</v>
      </c>
      <c r="E14" s="26">
        <v>9</v>
      </c>
      <c r="F14" s="26">
        <v>8.3000000000000007</v>
      </c>
      <c r="G14" s="26">
        <v>9.5</v>
      </c>
      <c r="H14" s="26">
        <v>10.199999999999999</v>
      </c>
      <c r="I14" s="26">
        <v>13.5</v>
      </c>
      <c r="J14" s="26">
        <v>7.5</v>
      </c>
      <c r="K14" s="26">
        <v>11.7</v>
      </c>
      <c r="L14" s="26">
        <v>8.5</v>
      </c>
      <c r="M14" s="26">
        <v>9.1999999999999993</v>
      </c>
      <c r="N14" s="26">
        <v>7.2</v>
      </c>
      <c r="O14" s="26">
        <v>4.5</v>
      </c>
      <c r="P14" s="26">
        <v>7.1</v>
      </c>
      <c r="Q14" s="26">
        <v>2.2000000000000002</v>
      </c>
      <c r="R14" s="26">
        <v>8.1</v>
      </c>
      <c r="S14" s="26">
        <v>12.6</v>
      </c>
      <c r="T14" s="26">
        <v>8.3000000000000007</v>
      </c>
      <c r="U14" s="26">
        <v>6.2</v>
      </c>
      <c r="V14" s="26">
        <v>8.5</v>
      </c>
      <c r="W14" s="26">
        <v>5.6</v>
      </c>
      <c r="X14" s="26">
        <v>6</v>
      </c>
      <c r="Y14" s="26">
        <v>4.0999999999999996</v>
      </c>
      <c r="Z14" s="26">
        <v>7.2</v>
      </c>
      <c r="AA14" s="26">
        <v>4.8</v>
      </c>
      <c r="AB14" s="26">
        <v>8.3000000000000007</v>
      </c>
      <c r="AC14" s="26">
        <v>7.1</v>
      </c>
      <c r="AD14" s="26">
        <v>6.9</v>
      </c>
      <c r="AE14" s="26">
        <v>7.8</v>
      </c>
      <c r="AF14" s="26">
        <v>2</v>
      </c>
      <c r="AG14" s="26">
        <v>1.6</v>
      </c>
      <c r="AH14" s="26">
        <v>7.1</v>
      </c>
      <c r="AI14" s="26">
        <v>6.9</v>
      </c>
      <c r="AJ14" s="26">
        <v>3.6</v>
      </c>
      <c r="AK14" s="25">
        <v>3.6</v>
      </c>
      <c r="AL14" s="25">
        <v>4.7</v>
      </c>
      <c r="AM14" s="25">
        <v>5.8</v>
      </c>
      <c r="AN14" s="26">
        <v>12.1</v>
      </c>
      <c r="AO14" s="26">
        <v>5</v>
      </c>
      <c r="AP14" s="26">
        <v>12</v>
      </c>
      <c r="AQ14" s="26">
        <v>5.5</v>
      </c>
      <c r="AR14" s="26">
        <v>10.5</v>
      </c>
      <c r="AS14" s="26">
        <v>10.5</v>
      </c>
      <c r="AT14" s="26">
        <v>9.4</v>
      </c>
      <c r="AU14" s="26">
        <v>13.1</v>
      </c>
      <c r="AV14" s="26">
        <v>7.6</v>
      </c>
      <c r="AW14" s="26">
        <v>11</v>
      </c>
      <c r="AX14" s="26">
        <v>7.3</v>
      </c>
      <c r="AY14" s="26">
        <v>5.5</v>
      </c>
      <c r="AZ14" s="26">
        <v>7</v>
      </c>
      <c r="BA14" s="26">
        <v>7.7</v>
      </c>
      <c r="BB14" s="26">
        <v>8.1</v>
      </c>
      <c r="BC14" s="26">
        <v>8.6999999999999993</v>
      </c>
      <c r="BD14" s="26">
        <v>9.1</v>
      </c>
      <c r="BE14" s="26">
        <v>16.5</v>
      </c>
      <c r="BF14" s="26">
        <v>7.7</v>
      </c>
      <c r="BG14" s="26">
        <v>10.3</v>
      </c>
      <c r="BH14" s="26">
        <v>7.3</v>
      </c>
      <c r="BI14" s="26">
        <v>8.9</v>
      </c>
      <c r="BJ14" s="26">
        <v>7.6</v>
      </c>
      <c r="BK14" s="26">
        <v>4.2</v>
      </c>
      <c r="BL14" s="26">
        <v>8.5</v>
      </c>
      <c r="BM14" s="26">
        <v>2.2000000000000002</v>
      </c>
      <c r="BN14" s="26">
        <v>6.6</v>
      </c>
      <c r="BO14" s="26">
        <v>1.9</v>
      </c>
      <c r="BP14" s="26">
        <v>8.1</v>
      </c>
      <c r="BQ14" s="26">
        <v>7</v>
      </c>
      <c r="BR14" s="26">
        <v>8.1</v>
      </c>
      <c r="BS14" s="26">
        <v>9.5</v>
      </c>
      <c r="BT14" s="26">
        <v>7.7</v>
      </c>
      <c r="BU14" s="26">
        <v>6.4</v>
      </c>
      <c r="BV14" s="26">
        <v>6.9</v>
      </c>
      <c r="BW14" s="26">
        <v>5.2</v>
      </c>
      <c r="BX14" s="26">
        <v>9.4</v>
      </c>
      <c r="BY14" s="26">
        <v>10.8</v>
      </c>
      <c r="BZ14" s="26">
        <v>7.3</v>
      </c>
      <c r="CA14" s="26">
        <v>10.9</v>
      </c>
      <c r="CB14" s="26">
        <v>9.1999999999999993</v>
      </c>
      <c r="CC14" s="26">
        <v>17.399999999999999</v>
      </c>
      <c r="CD14" s="26">
        <v>7.3</v>
      </c>
      <c r="CE14" s="26">
        <v>11.9</v>
      </c>
      <c r="CF14" s="26">
        <v>9.1999999999999993</v>
      </c>
      <c r="CG14" s="26">
        <v>9.6999999999999993</v>
      </c>
      <c r="CH14" s="26">
        <v>7.9</v>
      </c>
      <c r="CI14" s="26">
        <v>3.6</v>
      </c>
      <c r="CJ14" s="26">
        <v>9.1</v>
      </c>
      <c r="CK14" s="26">
        <v>2.4</v>
      </c>
      <c r="CL14" s="26">
        <v>8.8000000000000007</v>
      </c>
      <c r="CM14" s="26">
        <v>2.6</v>
      </c>
      <c r="CN14" s="26">
        <v>6.9</v>
      </c>
      <c r="CO14" s="26">
        <v>5.3</v>
      </c>
      <c r="CP14" s="26">
        <v>8.3000000000000007</v>
      </c>
      <c r="CQ14" s="26">
        <v>10.4</v>
      </c>
      <c r="CR14" s="26">
        <v>6.8</v>
      </c>
      <c r="CS14" s="26">
        <v>5.6</v>
      </c>
      <c r="CT14" s="26">
        <v>7.6</v>
      </c>
      <c r="CU14" s="26">
        <v>5.2</v>
      </c>
      <c r="CV14" s="26">
        <v>7.1</v>
      </c>
      <c r="CW14" s="26">
        <v>7.7</v>
      </c>
      <c r="CX14" s="26">
        <v>7.1</v>
      </c>
      <c r="CY14" s="26">
        <v>7.7</v>
      </c>
      <c r="CZ14" s="26">
        <v>10.3</v>
      </c>
      <c r="DA14" s="26">
        <v>17.600000000000001</v>
      </c>
      <c r="DB14" s="26">
        <v>8.1</v>
      </c>
      <c r="DC14" s="26">
        <v>9</v>
      </c>
      <c r="DD14" s="26">
        <v>8.1</v>
      </c>
      <c r="DE14" s="26">
        <v>7</v>
      </c>
      <c r="DF14" s="26">
        <v>8.3000000000000007</v>
      </c>
      <c r="DG14" s="26">
        <v>4.0999999999999996</v>
      </c>
      <c r="DH14" s="26">
        <v>7.8</v>
      </c>
      <c r="DI14" s="26">
        <v>2.2999999999999998</v>
      </c>
      <c r="DJ14" s="26">
        <v>6.5</v>
      </c>
      <c r="DK14" s="26">
        <v>3.2</v>
      </c>
      <c r="DL14" s="26">
        <v>8</v>
      </c>
      <c r="DM14" s="26">
        <v>9.9</v>
      </c>
      <c r="DN14" s="26">
        <v>9.9</v>
      </c>
      <c r="DO14" s="26">
        <v>8</v>
      </c>
      <c r="DP14" s="26">
        <v>7</v>
      </c>
      <c r="DQ14" s="26">
        <v>10.7</v>
      </c>
      <c r="DR14" s="26">
        <v>8.6999999999999993</v>
      </c>
      <c r="DS14" s="26">
        <v>8.6999999999999993</v>
      </c>
      <c r="DT14" s="26">
        <v>7.1</v>
      </c>
      <c r="DU14" s="26">
        <v>4.3</v>
      </c>
      <c r="DV14" s="26">
        <v>6.2</v>
      </c>
      <c r="DW14" s="26">
        <v>6.8</v>
      </c>
      <c r="DX14" s="26">
        <v>7.1</v>
      </c>
      <c r="DY14" s="26">
        <v>10.9</v>
      </c>
      <c r="DZ14" s="26">
        <v>6.2</v>
      </c>
      <c r="EA14" s="26">
        <v>9.6999999999999993</v>
      </c>
      <c r="EB14" s="26">
        <v>7.7</v>
      </c>
      <c r="EC14" s="26">
        <v>6.9</v>
      </c>
      <c r="ED14" s="26">
        <v>8.6</v>
      </c>
      <c r="EE14" s="26">
        <v>6.4</v>
      </c>
      <c r="EF14" s="26">
        <v>8.4</v>
      </c>
      <c r="EG14" s="26">
        <v>6.2</v>
      </c>
      <c r="EH14" s="26">
        <v>6.5</v>
      </c>
      <c r="EI14" s="26">
        <v>7.4</v>
      </c>
      <c r="EJ14" s="26">
        <v>7.7</v>
      </c>
      <c r="EK14" s="26">
        <v>6.9</v>
      </c>
      <c r="EL14" s="26">
        <v>7.2</v>
      </c>
      <c r="EM14" s="26">
        <v>6.5</v>
      </c>
      <c r="EN14" s="26">
        <v>7</v>
      </c>
      <c r="EO14" s="26">
        <v>7.9</v>
      </c>
      <c r="EP14" s="26">
        <v>7.1</v>
      </c>
      <c r="EQ14" s="26">
        <v>4.8</v>
      </c>
      <c r="ER14" s="26">
        <v>7.7</v>
      </c>
      <c r="ES14" s="26">
        <v>6.4</v>
      </c>
      <c r="ET14" s="26">
        <v>6.3</v>
      </c>
      <c r="EU14" s="26">
        <v>8.6999999999999993</v>
      </c>
      <c r="EV14" s="26">
        <v>8.3000000000000007</v>
      </c>
      <c r="EW14" s="26">
        <v>10.9</v>
      </c>
      <c r="EX14" s="26">
        <v>7.7</v>
      </c>
      <c r="EY14" s="26">
        <v>8.1</v>
      </c>
      <c r="EZ14" s="26">
        <v>8.4</v>
      </c>
      <c r="FA14" s="26">
        <v>6.8</v>
      </c>
      <c r="FB14" s="26">
        <v>9</v>
      </c>
      <c r="FC14" s="26">
        <v>7.2</v>
      </c>
      <c r="FD14" s="26">
        <v>7.3</v>
      </c>
      <c r="FE14" s="26">
        <v>5.9</v>
      </c>
      <c r="FF14" s="26">
        <v>5.9</v>
      </c>
      <c r="FG14" s="26">
        <v>7.1</v>
      </c>
      <c r="FH14" s="26">
        <v>7.1</v>
      </c>
      <c r="FI14" s="26">
        <v>8.4</v>
      </c>
      <c r="FJ14" s="26">
        <v>6.8</v>
      </c>
      <c r="FK14" s="26">
        <v>7.3</v>
      </c>
      <c r="FL14" s="26">
        <v>7.2</v>
      </c>
      <c r="FM14" s="26">
        <v>9.5</v>
      </c>
      <c r="FN14" s="26">
        <v>7.6</v>
      </c>
      <c r="FO14" s="26">
        <v>5.2</v>
      </c>
      <c r="FP14" s="26">
        <v>7.4</v>
      </c>
      <c r="FQ14" s="26">
        <v>6.4</v>
      </c>
      <c r="FR14" s="26">
        <v>6.3</v>
      </c>
      <c r="FS14" s="26">
        <v>8.6999999999999993</v>
      </c>
      <c r="FT14" s="40">
        <v>6.95</v>
      </c>
      <c r="FU14" s="40">
        <v>6.19</v>
      </c>
      <c r="FV14" s="26">
        <v>7.7</v>
      </c>
      <c r="FW14" s="26">
        <v>8.1</v>
      </c>
      <c r="FX14" s="26">
        <v>10.1</v>
      </c>
      <c r="FY14" s="26">
        <v>20.2</v>
      </c>
      <c r="FZ14" s="26">
        <v>8.3000000000000007</v>
      </c>
      <c r="GA14" s="26">
        <v>4.0999999999999996</v>
      </c>
    </row>
    <row r="15" spans="1:278" x14ac:dyDescent="0.3">
      <c r="A15" s="36" t="s">
        <v>9</v>
      </c>
      <c r="B15" s="41">
        <v>9.0377336850556258</v>
      </c>
      <c r="C15" s="25">
        <v>10.6</v>
      </c>
      <c r="D15" s="26">
        <v>11.9</v>
      </c>
      <c r="E15" s="26">
        <v>26.9</v>
      </c>
      <c r="F15" s="26">
        <v>7.8</v>
      </c>
      <c r="G15" s="26">
        <v>11.9</v>
      </c>
      <c r="H15" s="26">
        <v>7.7</v>
      </c>
      <c r="I15" s="26">
        <v>11.2</v>
      </c>
      <c r="J15" s="26">
        <v>8.1999999999999993</v>
      </c>
      <c r="K15" s="26">
        <v>17.7</v>
      </c>
      <c r="L15" s="26">
        <v>7.5</v>
      </c>
      <c r="M15" s="26">
        <v>18.899999999999999</v>
      </c>
      <c r="N15" s="26">
        <v>6.7</v>
      </c>
      <c r="O15" s="26">
        <v>1.8</v>
      </c>
      <c r="P15" s="26">
        <v>7.1</v>
      </c>
      <c r="Q15" s="26">
        <v>0.4</v>
      </c>
      <c r="R15" s="26">
        <v>8.1999999999999993</v>
      </c>
      <c r="S15" s="26">
        <v>1.4</v>
      </c>
      <c r="T15" s="26">
        <v>8</v>
      </c>
      <c r="U15" s="26">
        <v>0.5</v>
      </c>
      <c r="V15" s="26">
        <v>8.3000000000000007</v>
      </c>
      <c r="W15" s="26">
        <v>2</v>
      </c>
      <c r="X15" s="26">
        <v>7.5</v>
      </c>
      <c r="Y15" s="26">
        <v>2.1</v>
      </c>
      <c r="Z15" s="26">
        <v>7.3</v>
      </c>
      <c r="AA15" s="26">
        <v>7.5</v>
      </c>
      <c r="AB15" s="26">
        <v>7.3</v>
      </c>
      <c r="AC15" s="26">
        <v>9.1999999999999993</v>
      </c>
      <c r="AD15" s="26">
        <v>6.3</v>
      </c>
      <c r="AE15" s="26">
        <v>7.5</v>
      </c>
      <c r="AF15" s="26">
        <v>0</v>
      </c>
      <c r="AG15" s="26">
        <v>0</v>
      </c>
      <c r="AH15" s="26">
        <v>10.3</v>
      </c>
      <c r="AI15" s="26">
        <v>22.9</v>
      </c>
      <c r="AJ15" s="26">
        <v>7.7</v>
      </c>
      <c r="AK15" s="25">
        <v>25.9</v>
      </c>
      <c r="AL15" s="25">
        <v>4.7</v>
      </c>
      <c r="AM15" s="25">
        <v>5</v>
      </c>
      <c r="AN15" s="26">
        <v>11.9</v>
      </c>
      <c r="AO15" s="26">
        <v>1.4</v>
      </c>
      <c r="AP15" s="26">
        <v>9.9</v>
      </c>
      <c r="AQ15" s="26">
        <v>0.7</v>
      </c>
      <c r="AR15" s="26">
        <v>9.4</v>
      </c>
      <c r="AS15" s="26">
        <v>3.5</v>
      </c>
      <c r="AT15" s="26">
        <v>9.4</v>
      </c>
      <c r="AU15" s="26">
        <v>6.5</v>
      </c>
      <c r="AV15" s="26">
        <v>10.8</v>
      </c>
      <c r="AW15" s="26">
        <v>5.4</v>
      </c>
      <c r="AX15" s="26">
        <v>6.8</v>
      </c>
      <c r="AY15" s="26">
        <v>6.6</v>
      </c>
      <c r="AZ15" s="26">
        <v>6.9</v>
      </c>
      <c r="BA15" s="26">
        <v>7.7</v>
      </c>
      <c r="BB15" s="26">
        <v>8.3000000000000007</v>
      </c>
      <c r="BC15" s="26">
        <v>10.5</v>
      </c>
      <c r="BD15" s="26">
        <v>7.5</v>
      </c>
      <c r="BE15" s="26">
        <v>16.399999999999999</v>
      </c>
      <c r="BF15" s="26">
        <v>8</v>
      </c>
      <c r="BG15" s="26">
        <v>14.4</v>
      </c>
      <c r="BH15" s="26">
        <v>9.1</v>
      </c>
      <c r="BI15" s="26">
        <v>18.8</v>
      </c>
      <c r="BJ15" s="26">
        <v>7.4</v>
      </c>
      <c r="BK15" s="26">
        <v>3.6</v>
      </c>
      <c r="BL15" s="26">
        <v>8.4</v>
      </c>
      <c r="BM15" s="26">
        <v>0.8</v>
      </c>
      <c r="BN15" s="26">
        <v>8.6</v>
      </c>
      <c r="BO15" s="26">
        <v>0.6</v>
      </c>
      <c r="BP15" s="26">
        <v>8.1999999999999993</v>
      </c>
      <c r="BQ15" s="26">
        <v>2.6</v>
      </c>
      <c r="BR15" s="26">
        <v>7.3</v>
      </c>
      <c r="BS15" s="26">
        <v>3.6</v>
      </c>
      <c r="BT15" s="26">
        <v>12.3</v>
      </c>
      <c r="BU15" s="26">
        <v>7.9</v>
      </c>
      <c r="BV15" s="26">
        <v>8.9</v>
      </c>
      <c r="BW15" s="26">
        <v>6.3</v>
      </c>
      <c r="BX15" s="26">
        <v>8.1</v>
      </c>
      <c r="BY15" s="26">
        <v>10.3</v>
      </c>
      <c r="BZ15" s="26">
        <v>7.7</v>
      </c>
      <c r="CA15" s="26">
        <v>11.7</v>
      </c>
      <c r="CB15" s="26">
        <v>8.8000000000000007</v>
      </c>
      <c r="CC15" s="26">
        <v>20.8</v>
      </c>
      <c r="CD15" s="26">
        <v>8.9</v>
      </c>
      <c r="CE15" s="26">
        <v>15.4</v>
      </c>
      <c r="CF15" s="26">
        <v>10.1</v>
      </c>
      <c r="CG15" s="26">
        <v>20.2</v>
      </c>
      <c r="CH15" s="26">
        <v>8.9</v>
      </c>
      <c r="CI15" s="26">
        <v>2.4</v>
      </c>
      <c r="CJ15" s="26">
        <v>10.1</v>
      </c>
      <c r="CK15" s="26">
        <v>0.4</v>
      </c>
      <c r="CL15" s="26">
        <v>9.1999999999999993</v>
      </c>
      <c r="CM15" s="26">
        <v>0.1</v>
      </c>
      <c r="CN15" s="26">
        <v>7.5</v>
      </c>
      <c r="CO15" s="26">
        <v>1.6</v>
      </c>
      <c r="CP15" s="26">
        <v>10.4</v>
      </c>
      <c r="CQ15" s="26">
        <v>5.0999999999999996</v>
      </c>
      <c r="CR15" s="26">
        <v>8.8000000000000007</v>
      </c>
      <c r="CS15" s="26">
        <v>4.5</v>
      </c>
      <c r="CT15" s="26">
        <v>8</v>
      </c>
      <c r="CU15" s="26">
        <v>8.6999999999999993</v>
      </c>
      <c r="CV15" s="26">
        <v>7.9</v>
      </c>
      <c r="CW15" s="26">
        <v>10.4</v>
      </c>
      <c r="CX15" s="26">
        <v>7.9</v>
      </c>
      <c r="CY15" s="26">
        <v>10.4</v>
      </c>
      <c r="CZ15" s="26">
        <v>7.7</v>
      </c>
      <c r="DA15" s="26">
        <v>23.7</v>
      </c>
      <c r="DB15" s="26">
        <v>7.4</v>
      </c>
      <c r="DC15" s="26">
        <v>14.3</v>
      </c>
      <c r="DD15" s="26">
        <v>8.8000000000000007</v>
      </c>
      <c r="DE15" s="26">
        <v>15.4</v>
      </c>
      <c r="DF15" s="26">
        <v>7.7</v>
      </c>
      <c r="DG15" s="26">
        <v>3</v>
      </c>
      <c r="DH15" s="26">
        <v>8</v>
      </c>
      <c r="DI15" s="26">
        <v>0.6</v>
      </c>
      <c r="DJ15" s="26">
        <v>9.5</v>
      </c>
      <c r="DK15" s="26">
        <v>1.8</v>
      </c>
      <c r="DL15" s="26">
        <v>11.8</v>
      </c>
      <c r="DM15" s="26">
        <v>3.6</v>
      </c>
      <c r="DN15" s="26">
        <v>10.199999999999999</v>
      </c>
      <c r="DO15" s="26">
        <v>5.2</v>
      </c>
      <c r="DP15" s="26">
        <v>6.7</v>
      </c>
      <c r="DQ15" s="26">
        <v>2.4</v>
      </c>
      <c r="DR15" s="26">
        <v>6.4</v>
      </c>
      <c r="DS15" s="26">
        <v>6.2</v>
      </c>
      <c r="DT15" s="26">
        <v>8.3000000000000007</v>
      </c>
      <c r="DU15" s="26">
        <v>7.1</v>
      </c>
      <c r="DV15" s="26">
        <v>6</v>
      </c>
      <c r="DW15" s="26">
        <v>7.6</v>
      </c>
      <c r="DX15" s="26">
        <v>5.3</v>
      </c>
      <c r="DY15" s="26">
        <v>13.2</v>
      </c>
      <c r="DZ15" s="26">
        <v>6.7</v>
      </c>
      <c r="EA15" s="26">
        <v>8.9</v>
      </c>
      <c r="EB15" s="26">
        <v>7.7</v>
      </c>
      <c r="EC15" s="26">
        <v>8.1</v>
      </c>
      <c r="ED15" s="26">
        <v>6.7</v>
      </c>
      <c r="EE15" s="26">
        <v>6.3</v>
      </c>
      <c r="EF15" s="26">
        <v>7.5</v>
      </c>
      <c r="EG15" s="26">
        <v>7.4</v>
      </c>
      <c r="EH15" s="26">
        <v>9.3000000000000007</v>
      </c>
      <c r="EI15" s="26">
        <v>5.5</v>
      </c>
      <c r="EJ15" s="26">
        <v>8.5</v>
      </c>
      <c r="EK15" s="26">
        <v>5.9</v>
      </c>
      <c r="EL15" s="26">
        <v>8</v>
      </c>
      <c r="EM15" s="26">
        <v>5.5</v>
      </c>
      <c r="EN15" s="26">
        <v>9.5</v>
      </c>
      <c r="EO15" s="26">
        <v>6.6</v>
      </c>
      <c r="EP15" s="26">
        <v>7.4</v>
      </c>
      <c r="EQ15" s="26">
        <v>5.4</v>
      </c>
      <c r="ER15" s="26">
        <v>7.3</v>
      </c>
      <c r="ES15" s="26">
        <v>5.5</v>
      </c>
      <c r="ET15" s="26">
        <v>7.3</v>
      </c>
      <c r="EU15" s="26">
        <v>7.6</v>
      </c>
      <c r="EV15" s="26">
        <v>7.4</v>
      </c>
      <c r="EW15" s="26">
        <v>10.7</v>
      </c>
      <c r="EX15" s="26">
        <v>8</v>
      </c>
      <c r="EY15" s="26">
        <v>8.3000000000000007</v>
      </c>
      <c r="EZ15" s="26">
        <v>8.6</v>
      </c>
      <c r="FA15" s="26">
        <v>2.6</v>
      </c>
      <c r="FB15" s="26">
        <v>8.3000000000000007</v>
      </c>
      <c r="FC15" s="26">
        <v>8</v>
      </c>
      <c r="FD15" s="26">
        <v>7.6</v>
      </c>
      <c r="FE15" s="26">
        <v>7.7</v>
      </c>
      <c r="FF15" s="26">
        <v>7.8</v>
      </c>
      <c r="FG15" s="26">
        <v>7.4</v>
      </c>
      <c r="FH15" s="26">
        <v>7.2</v>
      </c>
      <c r="FI15" s="26">
        <v>7.2</v>
      </c>
      <c r="FJ15" s="26">
        <v>7.5</v>
      </c>
      <c r="FK15" s="26">
        <v>6</v>
      </c>
      <c r="FL15" s="26">
        <v>9</v>
      </c>
      <c r="FM15" s="26">
        <v>9.6999999999999993</v>
      </c>
      <c r="FN15" s="26">
        <v>8</v>
      </c>
      <c r="FO15" s="26">
        <v>8.6999999999999993</v>
      </c>
      <c r="FP15" s="26">
        <v>7.3</v>
      </c>
      <c r="FQ15" s="26">
        <v>5.5</v>
      </c>
      <c r="FR15" s="26">
        <v>7.3</v>
      </c>
      <c r="FS15" s="26">
        <v>7.6</v>
      </c>
      <c r="FT15" s="40">
        <v>5.36</v>
      </c>
      <c r="FU15" s="40">
        <v>5.94</v>
      </c>
      <c r="FV15" s="26">
        <v>8</v>
      </c>
      <c r="FW15" s="26">
        <v>8.1999999999999993</v>
      </c>
      <c r="FX15" s="26">
        <v>8.3000000000000007</v>
      </c>
      <c r="FY15" s="26">
        <v>8.6999999999999993</v>
      </c>
      <c r="FZ15" s="26">
        <v>7.7</v>
      </c>
      <c r="GA15" s="26">
        <v>4.0999999999999996</v>
      </c>
    </row>
    <row r="16" spans="1:278" x14ac:dyDescent="0.3">
      <c r="A16" s="36" t="s">
        <v>10</v>
      </c>
      <c r="B16" s="41">
        <v>10.968716772063351</v>
      </c>
      <c r="C16" s="25">
        <v>10.8</v>
      </c>
      <c r="D16" s="26">
        <v>9.6</v>
      </c>
      <c r="E16" s="26">
        <v>10.3</v>
      </c>
      <c r="F16" s="26">
        <v>6.7</v>
      </c>
      <c r="G16" s="26">
        <v>5.0999999999999996</v>
      </c>
      <c r="H16" s="26">
        <v>9.9</v>
      </c>
      <c r="I16" s="26">
        <v>10</v>
      </c>
      <c r="J16" s="26">
        <v>9</v>
      </c>
      <c r="K16" s="26">
        <v>14.3</v>
      </c>
      <c r="L16" s="26">
        <v>6.9</v>
      </c>
      <c r="M16" s="26">
        <v>12.7</v>
      </c>
      <c r="N16" s="26">
        <v>8.1</v>
      </c>
      <c r="O16" s="26">
        <v>5.4</v>
      </c>
      <c r="P16" s="26">
        <v>8.4</v>
      </c>
      <c r="Q16" s="26">
        <v>0.7</v>
      </c>
      <c r="R16" s="26">
        <v>7.8</v>
      </c>
      <c r="S16" s="26">
        <v>12.3</v>
      </c>
      <c r="T16" s="26">
        <v>8.1</v>
      </c>
      <c r="U16" s="26">
        <v>1.9</v>
      </c>
      <c r="V16" s="26">
        <v>7.8</v>
      </c>
      <c r="W16" s="26">
        <v>9.1999999999999993</v>
      </c>
      <c r="X16" s="26">
        <v>7.3</v>
      </c>
      <c r="Y16" s="26">
        <v>10.3</v>
      </c>
      <c r="Z16" s="26">
        <v>8.5</v>
      </c>
      <c r="AA16" s="26">
        <v>7.8</v>
      </c>
      <c r="AB16" s="26">
        <v>8.1</v>
      </c>
      <c r="AC16" s="26">
        <v>8.1999999999999993</v>
      </c>
      <c r="AD16" s="26">
        <v>0.7</v>
      </c>
      <c r="AE16" s="26">
        <v>1</v>
      </c>
      <c r="AF16" s="26">
        <v>0</v>
      </c>
      <c r="AG16" s="26">
        <v>0</v>
      </c>
      <c r="AH16" s="26">
        <v>0.1</v>
      </c>
      <c r="AI16" s="26">
        <v>0</v>
      </c>
      <c r="AJ16" s="26">
        <v>0</v>
      </c>
      <c r="AK16" s="25">
        <v>0</v>
      </c>
      <c r="AL16" s="25">
        <v>0.1</v>
      </c>
      <c r="AM16" s="25">
        <v>0.1</v>
      </c>
      <c r="AN16" s="26">
        <v>14.8</v>
      </c>
      <c r="AO16" s="26">
        <v>0.8</v>
      </c>
      <c r="AP16" s="26">
        <v>14.9</v>
      </c>
      <c r="AQ16" s="26">
        <v>1</v>
      </c>
      <c r="AR16" s="26">
        <v>11</v>
      </c>
      <c r="AS16" s="26">
        <v>17.7</v>
      </c>
      <c r="AT16" s="26">
        <v>10.8</v>
      </c>
      <c r="AU16" s="26">
        <v>17</v>
      </c>
      <c r="AV16" s="26">
        <v>13.3</v>
      </c>
      <c r="AW16" s="26">
        <v>23.7</v>
      </c>
      <c r="AX16" s="26">
        <v>6.9</v>
      </c>
      <c r="AY16" s="26">
        <v>6.6</v>
      </c>
      <c r="AZ16" s="26">
        <v>6.4</v>
      </c>
      <c r="BA16" s="26">
        <v>6.3</v>
      </c>
      <c r="BB16" s="26">
        <v>7.6</v>
      </c>
      <c r="BC16" s="26">
        <v>8.1</v>
      </c>
      <c r="BD16" s="26">
        <v>8.3000000000000007</v>
      </c>
      <c r="BE16" s="26">
        <v>11.2</v>
      </c>
      <c r="BF16" s="26">
        <v>8.3000000000000007</v>
      </c>
      <c r="BG16" s="26">
        <v>12.7</v>
      </c>
      <c r="BH16" s="26">
        <v>9.1</v>
      </c>
      <c r="BI16" s="26">
        <v>10.6</v>
      </c>
      <c r="BJ16" s="26">
        <v>5.6</v>
      </c>
      <c r="BK16" s="26">
        <v>2.4</v>
      </c>
      <c r="BL16" s="26">
        <v>6.1</v>
      </c>
      <c r="BM16" s="26">
        <v>0.6</v>
      </c>
      <c r="BN16" s="26">
        <v>8.3000000000000007</v>
      </c>
      <c r="BO16" s="26">
        <v>1.1000000000000001</v>
      </c>
      <c r="BP16" s="26">
        <v>7.6</v>
      </c>
      <c r="BQ16" s="26">
        <v>4.0999999999999996</v>
      </c>
      <c r="BR16" s="26">
        <v>8.4</v>
      </c>
      <c r="BS16" s="26">
        <v>6.3</v>
      </c>
      <c r="BT16" s="26">
        <v>11.9</v>
      </c>
      <c r="BU16" s="26">
        <v>18.899999999999999</v>
      </c>
      <c r="BV16" s="26">
        <v>7.4</v>
      </c>
      <c r="BW16" s="26">
        <v>8.1</v>
      </c>
      <c r="BX16" s="26">
        <v>12.1</v>
      </c>
      <c r="BY16" s="26">
        <v>9</v>
      </c>
      <c r="BZ16" s="26">
        <v>6.4</v>
      </c>
      <c r="CA16" s="26">
        <v>7.3</v>
      </c>
      <c r="CB16" s="26">
        <v>8.9</v>
      </c>
      <c r="CC16" s="26">
        <v>14.8</v>
      </c>
      <c r="CD16" s="26">
        <v>7.7</v>
      </c>
      <c r="CE16" s="26">
        <v>8.9</v>
      </c>
      <c r="CF16" s="26">
        <v>8.3000000000000007</v>
      </c>
      <c r="CG16" s="26">
        <v>8.6999999999999993</v>
      </c>
      <c r="CH16" s="26">
        <v>8.4</v>
      </c>
      <c r="CI16" s="26">
        <v>1.9</v>
      </c>
      <c r="CJ16" s="26">
        <v>11</v>
      </c>
      <c r="CK16" s="26">
        <v>1</v>
      </c>
      <c r="CL16" s="26">
        <v>9.8000000000000007</v>
      </c>
      <c r="CM16" s="26">
        <v>2.2000000000000002</v>
      </c>
      <c r="CN16" s="26">
        <v>7.9</v>
      </c>
      <c r="CO16" s="26">
        <v>7.3</v>
      </c>
      <c r="CP16" s="26">
        <v>9</v>
      </c>
      <c r="CQ16" s="26">
        <v>13.1</v>
      </c>
      <c r="CR16" s="26">
        <v>9.8000000000000007</v>
      </c>
      <c r="CS16" s="26">
        <v>14.4</v>
      </c>
      <c r="CT16" s="26">
        <v>8</v>
      </c>
      <c r="CU16" s="26">
        <v>8.1999999999999993</v>
      </c>
      <c r="CV16" s="26">
        <v>8.6999999999999993</v>
      </c>
      <c r="CW16" s="26">
        <v>8.6999999999999993</v>
      </c>
      <c r="CX16" s="26">
        <v>8.6999999999999993</v>
      </c>
      <c r="CY16" s="26">
        <v>8.6999999999999993</v>
      </c>
      <c r="CZ16" s="26">
        <v>8.5</v>
      </c>
      <c r="DA16" s="26">
        <v>10.9</v>
      </c>
      <c r="DB16" s="26">
        <v>7.7</v>
      </c>
      <c r="DC16" s="26">
        <v>9.6999999999999993</v>
      </c>
      <c r="DD16" s="26">
        <v>8.5</v>
      </c>
      <c r="DE16" s="26">
        <v>8.1999999999999993</v>
      </c>
      <c r="DF16" s="26">
        <v>9.6</v>
      </c>
      <c r="DG16" s="26">
        <v>4.3</v>
      </c>
      <c r="DH16" s="26">
        <v>9.1</v>
      </c>
      <c r="DI16" s="26">
        <v>1.6</v>
      </c>
      <c r="DJ16" s="26">
        <v>8.9</v>
      </c>
      <c r="DK16" s="26">
        <v>11.9</v>
      </c>
      <c r="DL16" s="26">
        <v>8.5</v>
      </c>
      <c r="DM16" s="26">
        <v>15.1</v>
      </c>
      <c r="DN16" s="26">
        <v>10</v>
      </c>
      <c r="DO16" s="26">
        <v>8.1999999999999993</v>
      </c>
      <c r="DP16" s="26">
        <v>7.7</v>
      </c>
      <c r="DQ16" s="26">
        <v>6.7</v>
      </c>
      <c r="DR16" s="26">
        <v>9</v>
      </c>
      <c r="DS16" s="26">
        <v>8.1</v>
      </c>
      <c r="DT16" s="26">
        <v>7.3</v>
      </c>
      <c r="DU16" s="26">
        <v>8.6</v>
      </c>
      <c r="DV16" s="26">
        <v>4.7</v>
      </c>
      <c r="DW16" s="26">
        <v>5</v>
      </c>
      <c r="DX16" s="26">
        <v>8.1999999999999993</v>
      </c>
      <c r="DY16" s="26">
        <v>10.9</v>
      </c>
      <c r="DZ16" s="26">
        <v>6.3</v>
      </c>
      <c r="EA16" s="26">
        <v>6.2</v>
      </c>
      <c r="EB16" s="26">
        <v>9.1</v>
      </c>
      <c r="EC16" s="26">
        <v>7.1</v>
      </c>
      <c r="ED16" s="26">
        <v>8.1999999999999993</v>
      </c>
      <c r="EE16" s="26">
        <v>7.9</v>
      </c>
      <c r="EF16" s="26">
        <v>6.5</v>
      </c>
      <c r="EG16" s="26">
        <v>5.6</v>
      </c>
      <c r="EH16" s="26">
        <v>6.7</v>
      </c>
      <c r="EI16" s="26">
        <v>6.7</v>
      </c>
      <c r="EJ16" s="26">
        <v>5.9</v>
      </c>
      <c r="EK16" s="26">
        <v>6.7</v>
      </c>
      <c r="EL16" s="26">
        <v>7.4</v>
      </c>
      <c r="EM16" s="26">
        <v>7.4</v>
      </c>
      <c r="EN16" s="26">
        <v>7.1</v>
      </c>
      <c r="EO16" s="26">
        <v>7.1</v>
      </c>
      <c r="EP16" s="26">
        <v>6.4</v>
      </c>
      <c r="EQ16" s="26">
        <v>5.3</v>
      </c>
      <c r="ER16" s="26">
        <v>5.8</v>
      </c>
      <c r="ES16" s="26">
        <v>5.8</v>
      </c>
      <c r="ET16" s="26">
        <v>6.6</v>
      </c>
      <c r="EU16" s="26">
        <v>5.3</v>
      </c>
      <c r="EV16" s="26">
        <v>6.8</v>
      </c>
      <c r="EW16" s="26">
        <v>9.3000000000000007</v>
      </c>
      <c r="EX16" s="26">
        <v>6.4</v>
      </c>
      <c r="EY16" s="26">
        <v>6.6</v>
      </c>
      <c r="EZ16" s="26">
        <v>7.4</v>
      </c>
      <c r="FA16" s="26">
        <v>0.5</v>
      </c>
      <c r="FB16" s="26">
        <v>7.5</v>
      </c>
      <c r="FC16" s="26">
        <v>6.6</v>
      </c>
      <c r="FD16" s="26">
        <v>6.6</v>
      </c>
      <c r="FE16" s="26">
        <v>6.1</v>
      </c>
      <c r="FF16" s="26">
        <v>7.3</v>
      </c>
      <c r="FG16" s="26">
        <v>8.3000000000000007</v>
      </c>
      <c r="FH16" s="26">
        <v>6</v>
      </c>
      <c r="FI16" s="26">
        <v>7</v>
      </c>
      <c r="FJ16" s="26">
        <v>5.2</v>
      </c>
      <c r="FK16" s="26">
        <v>5.5</v>
      </c>
      <c r="FL16" s="26">
        <v>7.4</v>
      </c>
      <c r="FM16" s="26">
        <v>7.1</v>
      </c>
      <c r="FN16" s="26">
        <v>8</v>
      </c>
      <c r="FO16" s="26">
        <v>8.1999999999999993</v>
      </c>
      <c r="FP16" s="26">
        <v>5.8</v>
      </c>
      <c r="FQ16" s="26">
        <v>5.8</v>
      </c>
      <c r="FR16" s="26">
        <v>6.6</v>
      </c>
      <c r="FS16" s="26">
        <v>5.3</v>
      </c>
      <c r="FT16" s="40">
        <v>6.32</v>
      </c>
      <c r="FU16" s="40">
        <v>5.87</v>
      </c>
      <c r="FV16" s="26">
        <v>6.4</v>
      </c>
      <c r="FW16" s="26">
        <v>6.6</v>
      </c>
      <c r="FX16" s="26">
        <v>9.6999999999999993</v>
      </c>
      <c r="FY16" s="26">
        <v>11.6</v>
      </c>
      <c r="FZ16" s="26">
        <v>8.1999999999999993</v>
      </c>
      <c r="GA16" s="26">
        <v>4.2</v>
      </c>
    </row>
    <row r="17" spans="1:183" x14ac:dyDescent="0.3">
      <c r="A17" s="36" t="s">
        <v>11</v>
      </c>
      <c r="B17" s="41">
        <v>9.575584167858846</v>
      </c>
      <c r="C17" s="25">
        <v>10.199999999999999</v>
      </c>
      <c r="D17" s="26">
        <v>10.4</v>
      </c>
      <c r="E17" s="26">
        <v>10.199999999999999</v>
      </c>
      <c r="F17" s="26">
        <v>8.1</v>
      </c>
      <c r="G17" s="26">
        <v>7.2</v>
      </c>
      <c r="H17" s="26">
        <v>9.1</v>
      </c>
      <c r="I17" s="26">
        <v>8.6</v>
      </c>
      <c r="J17" s="26">
        <v>7.7</v>
      </c>
      <c r="K17" s="26">
        <v>8.3000000000000007</v>
      </c>
      <c r="L17" s="26">
        <v>8.6</v>
      </c>
      <c r="M17" s="26">
        <v>10.1</v>
      </c>
      <c r="N17" s="26">
        <v>8.9</v>
      </c>
      <c r="O17" s="26">
        <v>6.8</v>
      </c>
      <c r="P17" s="26">
        <v>8.1</v>
      </c>
      <c r="Q17" s="26">
        <v>2.7</v>
      </c>
      <c r="R17" s="26">
        <v>7.5</v>
      </c>
      <c r="S17" s="26">
        <v>7.1</v>
      </c>
      <c r="T17" s="26">
        <v>7.9</v>
      </c>
      <c r="U17" s="26">
        <v>6.2</v>
      </c>
      <c r="V17" s="26">
        <v>7.3</v>
      </c>
      <c r="W17" s="26">
        <v>8.1</v>
      </c>
      <c r="X17" s="26">
        <v>3.9</v>
      </c>
      <c r="Y17" s="26">
        <v>8.9</v>
      </c>
      <c r="Z17" s="26">
        <v>7.4</v>
      </c>
      <c r="AA17" s="26">
        <v>8.1</v>
      </c>
      <c r="AB17" s="26">
        <v>7.3</v>
      </c>
      <c r="AC17" s="26">
        <v>7.6</v>
      </c>
      <c r="AD17" s="26">
        <v>5.7</v>
      </c>
      <c r="AE17" s="26">
        <v>5.9</v>
      </c>
      <c r="AF17" s="26">
        <v>0</v>
      </c>
      <c r="AG17" s="26">
        <v>0</v>
      </c>
      <c r="AH17" s="26">
        <v>7.8</v>
      </c>
      <c r="AI17" s="26">
        <v>8.9</v>
      </c>
      <c r="AJ17" s="26">
        <v>7.9</v>
      </c>
      <c r="AK17" s="25">
        <v>9.8000000000000007</v>
      </c>
      <c r="AL17" s="25">
        <v>3.6</v>
      </c>
      <c r="AM17" s="25">
        <v>3.1</v>
      </c>
      <c r="AN17" s="26">
        <v>9.1999999999999993</v>
      </c>
      <c r="AO17" s="26">
        <v>4</v>
      </c>
      <c r="AP17" s="26">
        <v>9.1999999999999993</v>
      </c>
      <c r="AQ17" s="26">
        <v>3.9</v>
      </c>
      <c r="AR17" s="26">
        <v>9.3000000000000007</v>
      </c>
      <c r="AS17" s="26">
        <v>8.3000000000000007</v>
      </c>
      <c r="AT17" s="26">
        <v>8.3000000000000007</v>
      </c>
      <c r="AU17" s="26">
        <v>9.1</v>
      </c>
      <c r="AV17" s="26">
        <v>8.9</v>
      </c>
      <c r="AW17" s="26">
        <v>10.1</v>
      </c>
      <c r="AX17" s="26">
        <v>5.7</v>
      </c>
      <c r="AY17" s="26">
        <v>8.1</v>
      </c>
      <c r="AZ17" s="26">
        <v>6.7</v>
      </c>
      <c r="BA17" s="26">
        <v>7.6</v>
      </c>
      <c r="BB17" s="26">
        <v>8.1999999999999993</v>
      </c>
      <c r="BC17" s="26">
        <v>8.1999999999999993</v>
      </c>
      <c r="BD17" s="26">
        <v>7.7</v>
      </c>
      <c r="BE17" s="26">
        <v>9.1</v>
      </c>
      <c r="BF17" s="26">
        <v>7.2</v>
      </c>
      <c r="BG17" s="26">
        <v>9.6</v>
      </c>
      <c r="BH17" s="26">
        <v>8.5</v>
      </c>
      <c r="BI17" s="26">
        <v>11.2</v>
      </c>
      <c r="BJ17" s="26">
        <v>7.7</v>
      </c>
      <c r="BK17" s="26">
        <v>5.0999999999999996</v>
      </c>
      <c r="BL17" s="26">
        <v>7.8</v>
      </c>
      <c r="BM17" s="26">
        <v>2.4</v>
      </c>
      <c r="BN17" s="26">
        <v>6.9</v>
      </c>
      <c r="BO17" s="26">
        <v>2.9</v>
      </c>
      <c r="BP17" s="26">
        <v>7.3</v>
      </c>
      <c r="BQ17" s="26">
        <v>5.9</v>
      </c>
      <c r="BR17" s="26">
        <v>7.4</v>
      </c>
      <c r="BS17" s="26">
        <v>6.8</v>
      </c>
      <c r="BT17" s="26">
        <v>8.9</v>
      </c>
      <c r="BU17" s="26">
        <v>9.1</v>
      </c>
      <c r="BV17" s="26">
        <v>7.4</v>
      </c>
      <c r="BW17" s="26">
        <v>8.3000000000000007</v>
      </c>
      <c r="BX17" s="26">
        <v>9.6</v>
      </c>
      <c r="BY17" s="26">
        <v>10.8</v>
      </c>
      <c r="BZ17" s="26">
        <v>7.8</v>
      </c>
      <c r="CA17" s="26">
        <v>7.3</v>
      </c>
      <c r="CB17" s="26">
        <v>8.4</v>
      </c>
      <c r="CC17" s="26">
        <v>11.8</v>
      </c>
      <c r="CD17" s="26">
        <v>8.3000000000000007</v>
      </c>
      <c r="CE17" s="26">
        <v>9.6</v>
      </c>
      <c r="CF17" s="26">
        <v>9.6999999999999993</v>
      </c>
      <c r="CG17" s="26">
        <v>11.6</v>
      </c>
      <c r="CH17" s="26">
        <v>7.4</v>
      </c>
      <c r="CI17" s="26">
        <v>6</v>
      </c>
      <c r="CJ17" s="26">
        <v>8.8000000000000007</v>
      </c>
      <c r="CK17" s="26">
        <v>3.3</v>
      </c>
      <c r="CL17" s="26">
        <v>8.6</v>
      </c>
      <c r="CM17" s="26">
        <v>4.3</v>
      </c>
      <c r="CN17" s="26">
        <v>7.6</v>
      </c>
      <c r="CO17" s="26">
        <v>6.1</v>
      </c>
      <c r="CP17" s="26">
        <v>7.5</v>
      </c>
      <c r="CQ17" s="26">
        <v>8.3000000000000007</v>
      </c>
      <c r="CR17" s="26">
        <v>3.4</v>
      </c>
      <c r="CS17" s="26">
        <v>6</v>
      </c>
      <c r="CT17" s="26">
        <v>8.1</v>
      </c>
      <c r="CU17" s="26">
        <v>8.6999999999999993</v>
      </c>
      <c r="CV17" s="26">
        <v>8.9</v>
      </c>
      <c r="CW17" s="26">
        <v>11.1</v>
      </c>
      <c r="CX17" s="26">
        <v>8.9</v>
      </c>
      <c r="CY17" s="26">
        <v>11.1</v>
      </c>
      <c r="CZ17" s="26">
        <v>9.6999999999999993</v>
      </c>
      <c r="DA17" s="26">
        <v>9.8000000000000007</v>
      </c>
      <c r="DB17" s="26">
        <v>8.5</v>
      </c>
      <c r="DC17" s="26">
        <v>7.6</v>
      </c>
      <c r="DD17" s="26">
        <v>7.8</v>
      </c>
      <c r="DE17" s="26">
        <v>8.9</v>
      </c>
      <c r="DF17" s="26">
        <v>8.8000000000000007</v>
      </c>
      <c r="DG17" s="26">
        <v>5.2</v>
      </c>
      <c r="DH17" s="26">
        <v>8.8000000000000007</v>
      </c>
      <c r="DI17" s="26">
        <v>3.9</v>
      </c>
      <c r="DJ17" s="26">
        <v>7.6</v>
      </c>
      <c r="DK17" s="26">
        <v>5.6</v>
      </c>
      <c r="DL17" s="26">
        <v>8.1999999999999993</v>
      </c>
      <c r="DM17" s="26">
        <v>7.5</v>
      </c>
      <c r="DN17" s="26">
        <v>7.4</v>
      </c>
      <c r="DO17" s="26">
        <v>9.8000000000000007</v>
      </c>
      <c r="DP17" s="26">
        <v>3.5</v>
      </c>
      <c r="DQ17" s="26">
        <v>6.8</v>
      </c>
      <c r="DR17" s="26">
        <v>8</v>
      </c>
      <c r="DS17" s="26">
        <v>9.1</v>
      </c>
      <c r="DT17" s="26">
        <v>7.1</v>
      </c>
      <c r="DU17" s="26">
        <v>6.6</v>
      </c>
      <c r="DV17" s="26">
        <v>6</v>
      </c>
      <c r="DW17" s="26">
        <v>6.7</v>
      </c>
      <c r="DX17" s="26">
        <v>5.4</v>
      </c>
      <c r="DY17" s="26">
        <v>8.3000000000000007</v>
      </c>
      <c r="DZ17" s="26">
        <v>5.0999999999999996</v>
      </c>
      <c r="EA17" s="26">
        <v>6.5</v>
      </c>
      <c r="EB17" s="26">
        <v>6.7</v>
      </c>
      <c r="EC17" s="26">
        <v>8.1999999999999993</v>
      </c>
      <c r="ED17" s="26">
        <v>7.4</v>
      </c>
      <c r="EE17" s="26">
        <v>7.8</v>
      </c>
      <c r="EF17" s="26">
        <v>23.2</v>
      </c>
      <c r="EG17" s="26">
        <v>17.899999999999999</v>
      </c>
      <c r="EH17" s="26">
        <v>6.3</v>
      </c>
      <c r="EI17" s="26">
        <v>7.6</v>
      </c>
      <c r="EJ17" s="26">
        <v>7</v>
      </c>
      <c r="EK17" s="26">
        <v>6</v>
      </c>
      <c r="EL17" s="26">
        <v>7.1</v>
      </c>
      <c r="EM17" s="26">
        <v>7.6</v>
      </c>
      <c r="EN17" s="26">
        <v>5.3</v>
      </c>
      <c r="EO17" s="26">
        <v>6.2</v>
      </c>
      <c r="EP17" s="26">
        <v>5.8</v>
      </c>
      <c r="EQ17" s="26">
        <v>6.2</v>
      </c>
      <c r="ER17" s="26">
        <v>6.7</v>
      </c>
      <c r="ES17" s="26">
        <v>8.1</v>
      </c>
      <c r="ET17" s="26">
        <v>5.9</v>
      </c>
      <c r="EU17" s="26">
        <v>5.6</v>
      </c>
      <c r="EV17" s="26">
        <v>8.6</v>
      </c>
      <c r="EW17" s="26">
        <v>8.9</v>
      </c>
      <c r="EX17" s="26">
        <v>7.5</v>
      </c>
      <c r="EY17" s="26">
        <v>6.7</v>
      </c>
      <c r="EZ17" s="26">
        <v>8.3000000000000007</v>
      </c>
      <c r="FA17" s="26">
        <v>7</v>
      </c>
      <c r="FB17" s="26">
        <v>7.7</v>
      </c>
      <c r="FC17" s="26">
        <v>7.9</v>
      </c>
      <c r="FD17" s="26">
        <v>7.8</v>
      </c>
      <c r="FE17" s="26">
        <v>8.1999999999999993</v>
      </c>
      <c r="FF17" s="26">
        <v>9.1999999999999993</v>
      </c>
      <c r="FG17" s="26">
        <v>8.5</v>
      </c>
      <c r="FH17" s="26">
        <v>7.1</v>
      </c>
      <c r="FI17" s="26">
        <v>6.7</v>
      </c>
      <c r="FJ17" s="26">
        <v>5.8</v>
      </c>
      <c r="FK17" s="26">
        <v>5.3</v>
      </c>
      <c r="FL17" s="26">
        <v>5.6</v>
      </c>
      <c r="FM17" s="26">
        <v>5.5</v>
      </c>
      <c r="FN17" s="26">
        <v>8.1</v>
      </c>
      <c r="FO17" s="26">
        <v>8.6999999999999993</v>
      </c>
      <c r="FP17" s="26">
        <v>6.7</v>
      </c>
      <c r="FQ17" s="26">
        <v>8.1</v>
      </c>
      <c r="FR17" s="26">
        <v>5.9</v>
      </c>
      <c r="FS17" s="26">
        <v>5.6</v>
      </c>
      <c r="FT17" s="40">
        <v>7.29</v>
      </c>
      <c r="FU17" s="40">
        <v>6.76</v>
      </c>
      <c r="FV17" s="26">
        <v>7.5</v>
      </c>
      <c r="FW17" s="26">
        <v>6.7</v>
      </c>
      <c r="FX17" s="26">
        <v>9.1999999999999993</v>
      </c>
      <c r="FY17" s="26">
        <v>10.6</v>
      </c>
      <c r="FZ17" s="26">
        <v>8.4</v>
      </c>
      <c r="GA17" s="26">
        <v>5.2</v>
      </c>
    </row>
    <row r="18" spans="1:183" x14ac:dyDescent="0.3">
      <c r="A18" s="36" t="s">
        <v>12</v>
      </c>
      <c r="B18" s="41">
        <v>2.5916944528645045</v>
      </c>
      <c r="C18" s="25">
        <v>1.7</v>
      </c>
      <c r="D18" s="26">
        <v>21.8</v>
      </c>
      <c r="E18" s="26">
        <v>14.7</v>
      </c>
      <c r="F18" s="26">
        <v>6</v>
      </c>
      <c r="G18" s="26">
        <v>2.2000000000000002</v>
      </c>
      <c r="H18" s="26">
        <v>16.8</v>
      </c>
      <c r="I18" s="26">
        <v>31.7</v>
      </c>
      <c r="J18" s="26">
        <v>9.4</v>
      </c>
      <c r="K18" s="26">
        <v>21.5</v>
      </c>
      <c r="L18" s="26">
        <v>10.3</v>
      </c>
      <c r="M18" s="26">
        <v>15.4</v>
      </c>
      <c r="N18" s="26">
        <v>8.4</v>
      </c>
      <c r="O18" s="26">
        <v>3.4</v>
      </c>
      <c r="P18" s="26">
        <v>8</v>
      </c>
      <c r="Q18" s="26">
        <v>2</v>
      </c>
      <c r="R18" s="26">
        <v>8.5</v>
      </c>
      <c r="S18" s="26">
        <v>5.4</v>
      </c>
      <c r="T18" s="26">
        <v>10.1</v>
      </c>
      <c r="U18" s="26">
        <v>7.3</v>
      </c>
      <c r="V18" s="26">
        <v>7.8</v>
      </c>
      <c r="W18" s="26">
        <v>5.2</v>
      </c>
      <c r="X18" s="26">
        <v>7.1</v>
      </c>
      <c r="Y18" s="26">
        <v>4.8</v>
      </c>
      <c r="Z18" s="26">
        <v>7.8</v>
      </c>
      <c r="AA18" s="26">
        <v>5</v>
      </c>
      <c r="AB18" s="26">
        <v>7.2</v>
      </c>
      <c r="AC18" s="26">
        <v>5.8</v>
      </c>
      <c r="AD18" s="26">
        <v>7.2</v>
      </c>
      <c r="AE18" s="26">
        <v>6.5</v>
      </c>
      <c r="AF18" s="26">
        <v>2.4</v>
      </c>
      <c r="AG18" s="26">
        <v>2.4</v>
      </c>
      <c r="AH18" s="26">
        <v>10</v>
      </c>
      <c r="AI18" s="26">
        <v>18.100000000000001</v>
      </c>
      <c r="AJ18" s="26">
        <v>11.2</v>
      </c>
      <c r="AK18" s="25">
        <v>12.4</v>
      </c>
      <c r="AL18" s="25">
        <v>3.9</v>
      </c>
      <c r="AM18" s="25">
        <v>1.7</v>
      </c>
      <c r="AN18" s="26">
        <v>8.8000000000000007</v>
      </c>
      <c r="AO18" s="26">
        <v>3</v>
      </c>
      <c r="AP18" s="26">
        <v>11.7</v>
      </c>
      <c r="AQ18" s="26">
        <v>4</v>
      </c>
      <c r="AR18" s="26">
        <v>10.3</v>
      </c>
      <c r="AS18" s="26">
        <v>15</v>
      </c>
      <c r="AT18" s="26">
        <v>10.3</v>
      </c>
      <c r="AU18" s="26">
        <v>13.3</v>
      </c>
      <c r="AV18" s="26">
        <v>7.3</v>
      </c>
      <c r="AW18" s="26">
        <v>7</v>
      </c>
      <c r="AX18" s="26">
        <v>7.3</v>
      </c>
      <c r="AY18" s="26">
        <v>6.1</v>
      </c>
      <c r="AZ18" s="26">
        <v>7.1</v>
      </c>
      <c r="BA18" s="26">
        <v>6.9</v>
      </c>
      <c r="BB18" s="26">
        <v>7.7</v>
      </c>
      <c r="BC18" s="26">
        <v>7.6</v>
      </c>
      <c r="BD18" s="26">
        <v>8.8000000000000007</v>
      </c>
      <c r="BE18" s="26">
        <v>17.3</v>
      </c>
      <c r="BF18" s="26">
        <v>8.1</v>
      </c>
      <c r="BG18" s="26">
        <v>9.9</v>
      </c>
      <c r="BH18" s="26">
        <v>7.3</v>
      </c>
      <c r="BI18" s="26">
        <v>11.3</v>
      </c>
      <c r="BJ18" s="26">
        <v>6.2</v>
      </c>
      <c r="BK18" s="26">
        <v>3.2</v>
      </c>
      <c r="BL18" s="26">
        <v>8</v>
      </c>
      <c r="BM18" s="26">
        <v>2.7</v>
      </c>
      <c r="BN18" s="26">
        <v>7.1</v>
      </c>
      <c r="BO18" s="26">
        <v>1.3</v>
      </c>
      <c r="BP18" s="26">
        <v>7.7</v>
      </c>
      <c r="BQ18" s="26">
        <v>11.4</v>
      </c>
      <c r="BR18" s="26">
        <v>7.5</v>
      </c>
      <c r="BS18" s="26">
        <v>11</v>
      </c>
      <c r="BT18" s="26">
        <v>8.5</v>
      </c>
      <c r="BU18" s="26">
        <v>7.6</v>
      </c>
      <c r="BV18" s="26">
        <v>6.2</v>
      </c>
      <c r="BW18" s="26">
        <v>5.2</v>
      </c>
      <c r="BX18" s="26">
        <v>8.5</v>
      </c>
      <c r="BY18" s="26">
        <v>8.9</v>
      </c>
      <c r="BZ18" s="26">
        <v>8.5</v>
      </c>
      <c r="CA18" s="26">
        <v>8.3000000000000007</v>
      </c>
      <c r="CB18" s="26">
        <v>10</v>
      </c>
      <c r="CC18" s="26">
        <v>23</v>
      </c>
      <c r="CD18" s="26">
        <v>7.4</v>
      </c>
      <c r="CE18" s="26">
        <v>10.9</v>
      </c>
      <c r="CF18" s="26">
        <v>9.1999999999999993</v>
      </c>
      <c r="CG18" s="26">
        <v>10.6</v>
      </c>
      <c r="CH18" s="26">
        <v>9.6</v>
      </c>
      <c r="CI18" s="26">
        <v>2.6</v>
      </c>
      <c r="CJ18" s="26">
        <v>9.1</v>
      </c>
      <c r="CK18" s="26">
        <v>2.9</v>
      </c>
      <c r="CL18" s="26">
        <v>9.5</v>
      </c>
      <c r="CM18" s="26">
        <v>2.6</v>
      </c>
      <c r="CN18" s="26">
        <v>8.6999999999999993</v>
      </c>
      <c r="CO18" s="26">
        <v>13.5</v>
      </c>
      <c r="CP18" s="26">
        <v>8.9</v>
      </c>
      <c r="CQ18" s="26">
        <v>9.8000000000000007</v>
      </c>
      <c r="CR18" s="26">
        <v>5.9</v>
      </c>
      <c r="CS18" s="26">
        <v>7.9</v>
      </c>
      <c r="CT18" s="26">
        <v>7.8</v>
      </c>
      <c r="CU18" s="26">
        <v>7.5</v>
      </c>
      <c r="CV18" s="26">
        <v>9.5</v>
      </c>
      <c r="CW18" s="26">
        <v>9.5</v>
      </c>
      <c r="CX18" s="26">
        <v>9.5</v>
      </c>
      <c r="CY18" s="26">
        <v>9.5</v>
      </c>
      <c r="CZ18" s="26">
        <v>9.5</v>
      </c>
      <c r="DA18" s="26">
        <v>17.100000000000001</v>
      </c>
      <c r="DB18" s="26">
        <v>8.1999999999999993</v>
      </c>
      <c r="DC18" s="26">
        <v>11.6</v>
      </c>
      <c r="DD18" s="26">
        <v>7.2</v>
      </c>
      <c r="DE18" s="26">
        <v>7.8</v>
      </c>
      <c r="DF18" s="26">
        <v>8.9</v>
      </c>
      <c r="DG18" s="26">
        <v>3.1</v>
      </c>
      <c r="DH18" s="26">
        <v>7.7</v>
      </c>
      <c r="DI18" s="26">
        <v>2.2000000000000002</v>
      </c>
      <c r="DJ18" s="26">
        <v>7.3</v>
      </c>
      <c r="DK18" s="26">
        <v>4.9000000000000004</v>
      </c>
      <c r="DL18" s="26">
        <v>8.6</v>
      </c>
      <c r="DM18" s="26">
        <v>10</v>
      </c>
      <c r="DN18" s="26">
        <v>9.8000000000000007</v>
      </c>
      <c r="DO18" s="26">
        <v>12.2</v>
      </c>
      <c r="DP18" s="26">
        <v>7.8</v>
      </c>
      <c r="DQ18" s="26">
        <v>8.1999999999999993</v>
      </c>
      <c r="DR18" s="26">
        <v>8.1999999999999993</v>
      </c>
      <c r="DS18" s="26">
        <v>7.1</v>
      </c>
      <c r="DT18" s="26">
        <v>7.6</v>
      </c>
      <c r="DU18" s="26">
        <v>7.4</v>
      </c>
      <c r="DV18" s="26">
        <v>7</v>
      </c>
      <c r="DW18" s="26">
        <v>7.7</v>
      </c>
      <c r="DX18" s="26">
        <v>8.3000000000000007</v>
      </c>
      <c r="DY18" s="26">
        <v>13.4</v>
      </c>
      <c r="DZ18" s="26">
        <v>7</v>
      </c>
      <c r="EA18" s="26">
        <v>10.3</v>
      </c>
      <c r="EB18" s="26">
        <v>8.1</v>
      </c>
      <c r="EC18" s="26">
        <v>8.8000000000000007</v>
      </c>
      <c r="ED18" s="26">
        <v>8.4</v>
      </c>
      <c r="EE18" s="26">
        <v>6.1</v>
      </c>
      <c r="EF18" s="26">
        <v>9.9</v>
      </c>
      <c r="EG18" s="26">
        <v>7.7</v>
      </c>
      <c r="EH18" s="26">
        <v>7.8</v>
      </c>
      <c r="EI18" s="26">
        <v>7.7</v>
      </c>
      <c r="EJ18" s="26">
        <v>7.3</v>
      </c>
      <c r="EK18" s="26">
        <v>8.5</v>
      </c>
      <c r="EL18" s="26">
        <v>8.3000000000000007</v>
      </c>
      <c r="EM18" s="26">
        <v>7.7</v>
      </c>
      <c r="EN18" s="26">
        <v>7.9</v>
      </c>
      <c r="EO18" s="26">
        <v>7.3</v>
      </c>
      <c r="EP18" s="26">
        <v>6.8</v>
      </c>
      <c r="EQ18" s="26">
        <v>6.1</v>
      </c>
      <c r="ER18" s="26">
        <v>7.7</v>
      </c>
      <c r="ES18" s="26">
        <v>7.6</v>
      </c>
      <c r="ET18" s="26">
        <v>7.8</v>
      </c>
      <c r="EU18" s="26">
        <v>6.5</v>
      </c>
      <c r="EV18" s="26">
        <v>8.6999999999999993</v>
      </c>
      <c r="EW18" s="26">
        <v>11</v>
      </c>
      <c r="EX18" s="26">
        <v>8.6999999999999993</v>
      </c>
      <c r="EY18" s="26">
        <v>8</v>
      </c>
      <c r="EZ18" s="26">
        <v>9.4</v>
      </c>
      <c r="FA18" s="26">
        <v>7</v>
      </c>
      <c r="FB18" s="26">
        <v>8</v>
      </c>
      <c r="FC18" s="26">
        <v>5.6</v>
      </c>
      <c r="FD18" s="26">
        <v>8.4</v>
      </c>
      <c r="FE18" s="26">
        <v>8.6</v>
      </c>
      <c r="FF18" s="26">
        <v>8.4</v>
      </c>
      <c r="FG18" s="26">
        <v>9.9</v>
      </c>
      <c r="FH18" s="26">
        <v>7.4</v>
      </c>
      <c r="FI18" s="26">
        <v>9</v>
      </c>
      <c r="FJ18" s="26">
        <v>7</v>
      </c>
      <c r="FK18" s="26">
        <v>9.3000000000000007</v>
      </c>
      <c r="FL18" s="26">
        <v>6.5</v>
      </c>
      <c r="FM18" s="26">
        <v>7.8</v>
      </c>
      <c r="FN18" s="26">
        <v>7.8</v>
      </c>
      <c r="FO18" s="26">
        <v>7.5</v>
      </c>
      <c r="FP18" s="26">
        <v>7.6</v>
      </c>
      <c r="FQ18" s="26">
        <v>7.6</v>
      </c>
      <c r="FR18" s="26">
        <v>7.8</v>
      </c>
      <c r="FS18" s="26">
        <v>6.5</v>
      </c>
      <c r="FT18" s="40">
        <v>6.93</v>
      </c>
      <c r="FU18" s="40">
        <v>5.91</v>
      </c>
      <c r="FV18" s="26">
        <v>8.4</v>
      </c>
      <c r="FW18" s="26">
        <v>8</v>
      </c>
      <c r="FX18" s="26">
        <v>8.6</v>
      </c>
      <c r="FY18" s="26">
        <v>11.1</v>
      </c>
      <c r="FZ18" s="26">
        <v>8.9</v>
      </c>
      <c r="GA18" s="26">
        <v>3.1</v>
      </c>
    </row>
    <row r="19" spans="1:183" x14ac:dyDescent="0.3">
      <c r="A19" s="36" t="s">
        <v>13</v>
      </c>
      <c r="B19" s="41">
        <v>8.604418089948636</v>
      </c>
      <c r="C19" s="25">
        <v>8</v>
      </c>
      <c r="D19" s="26">
        <v>8.6999999999999993</v>
      </c>
      <c r="E19" s="26">
        <v>9.6</v>
      </c>
      <c r="F19" s="26">
        <v>7.6</v>
      </c>
      <c r="G19" s="26">
        <v>8.3000000000000007</v>
      </c>
      <c r="H19" s="26">
        <v>8.1999999999999993</v>
      </c>
      <c r="I19" s="26">
        <v>8.3000000000000007</v>
      </c>
      <c r="J19" s="26">
        <v>8.9</v>
      </c>
      <c r="K19" s="26">
        <v>11.5</v>
      </c>
      <c r="L19" s="26">
        <v>7.6</v>
      </c>
      <c r="M19" s="26">
        <v>9.6999999999999993</v>
      </c>
      <c r="N19" s="26">
        <v>6.8</v>
      </c>
      <c r="O19" s="26">
        <v>1.7</v>
      </c>
      <c r="P19" s="26">
        <v>4.7</v>
      </c>
      <c r="Q19" s="26">
        <v>0.1</v>
      </c>
      <c r="R19" s="26">
        <v>8.6999999999999993</v>
      </c>
      <c r="S19" s="26">
        <v>17.100000000000001</v>
      </c>
      <c r="T19" s="26">
        <v>8.1999999999999993</v>
      </c>
      <c r="U19" s="26">
        <v>2.1</v>
      </c>
      <c r="V19" s="26">
        <v>8.9</v>
      </c>
      <c r="W19" s="26">
        <v>9.1</v>
      </c>
      <c r="X19" s="26">
        <v>10.1</v>
      </c>
      <c r="Y19" s="26">
        <v>11.8</v>
      </c>
      <c r="Z19" s="26">
        <v>7.6</v>
      </c>
      <c r="AA19" s="26">
        <v>6.6</v>
      </c>
      <c r="AB19" s="26">
        <v>8.6</v>
      </c>
      <c r="AC19" s="26">
        <v>7.7</v>
      </c>
      <c r="AD19" s="26">
        <v>5.4</v>
      </c>
      <c r="AE19" s="26">
        <v>6.2</v>
      </c>
      <c r="AF19" s="26">
        <v>0.2</v>
      </c>
      <c r="AG19" s="26">
        <v>0.3</v>
      </c>
      <c r="AH19" s="26">
        <v>10.199999999999999</v>
      </c>
      <c r="AI19" s="26">
        <v>10.1</v>
      </c>
      <c r="AJ19" s="26">
        <v>4.0999999999999996</v>
      </c>
      <c r="AK19" s="25">
        <v>3.8</v>
      </c>
      <c r="AL19" s="25">
        <v>1.9</v>
      </c>
      <c r="AM19" s="25">
        <v>0.8</v>
      </c>
      <c r="AN19" s="26">
        <v>11.5</v>
      </c>
      <c r="AO19" s="26">
        <v>0.4</v>
      </c>
      <c r="AP19" s="26">
        <v>11.2</v>
      </c>
      <c r="AQ19" s="26">
        <v>0.3</v>
      </c>
      <c r="AR19" s="26">
        <v>11.3</v>
      </c>
      <c r="AS19" s="26">
        <v>15</v>
      </c>
      <c r="AT19" s="26">
        <v>12.3</v>
      </c>
      <c r="AU19" s="26">
        <v>23.4</v>
      </c>
      <c r="AV19" s="26">
        <v>11.2</v>
      </c>
      <c r="AW19" s="26">
        <v>17.2</v>
      </c>
      <c r="AX19" s="26">
        <v>8.1999999999999993</v>
      </c>
      <c r="AY19" s="26">
        <v>5.6</v>
      </c>
      <c r="AZ19" s="26">
        <v>8</v>
      </c>
      <c r="BA19" s="26">
        <v>6.9</v>
      </c>
      <c r="BB19" s="26">
        <v>7.9</v>
      </c>
      <c r="BC19" s="26">
        <v>8.3000000000000007</v>
      </c>
      <c r="BD19" s="26">
        <v>7.4</v>
      </c>
      <c r="BE19" s="26">
        <v>8.1999999999999993</v>
      </c>
      <c r="BF19" s="26">
        <v>7.7</v>
      </c>
      <c r="BG19" s="26">
        <v>8.8000000000000007</v>
      </c>
      <c r="BH19" s="26">
        <v>8</v>
      </c>
      <c r="BI19" s="26">
        <v>9.4</v>
      </c>
      <c r="BJ19" s="26">
        <v>7.4</v>
      </c>
      <c r="BK19" s="26">
        <v>2.7</v>
      </c>
      <c r="BL19" s="26">
        <v>7.9</v>
      </c>
      <c r="BM19" s="26">
        <v>0.1</v>
      </c>
      <c r="BN19" s="26">
        <v>8.6</v>
      </c>
      <c r="BO19" s="26">
        <v>0.1</v>
      </c>
      <c r="BP19" s="26">
        <v>9.1</v>
      </c>
      <c r="BQ19" s="26">
        <v>11.2</v>
      </c>
      <c r="BR19" s="26">
        <v>9.3000000000000007</v>
      </c>
      <c r="BS19" s="26">
        <v>18</v>
      </c>
      <c r="BT19" s="26">
        <v>10.199999999999999</v>
      </c>
      <c r="BU19" s="26">
        <v>17.5</v>
      </c>
      <c r="BV19" s="26">
        <v>8.8000000000000007</v>
      </c>
      <c r="BW19" s="26">
        <v>7.1</v>
      </c>
      <c r="BX19" s="26">
        <v>9.6999999999999993</v>
      </c>
      <c r="BY19" s="26">
        <v>8.1999999999999993</v>
      </c>
      <c r="BZ19" s="26">
        <v>8.4</v>
      </c>
      <c r="CA19" s="26">
        <v>9.1</v>
      </c>
      <c r="CB19" s="26">
        <v>9.6</v>
      </c>
      <c r="CC19" s="26">
        <v>9.3000000000000007</v>
      </c>
      <c r="CD19" s="26">
        <v>7.8</v>
      </c>
      <c r="CE19" s="26">
        <v>10.6</v>
      </c>
      <c r="CF19" s="26">
        <v>8.6</v>
      </c>
      <c r="CG19" s="26">
        <v>11.1</v>
      </c>
      <c r="CH19" s="26">
        <v>8.4</v>
      </c>
      <c r="CI19" s="26">
        <v>3.3</v>
      </c>
      <c r="CJ19" s="26">
        <v>9.3000000000000007</v>
      </c>
      <c r="CK19" s="26">
        <v>0.3</v>
      </c>
      <c r="CL19" s="26">
        <v>8.9</v>
      </c>
      <c r="CM19" s="26">
        <v>0.2</v>
      </c>
      <c r="CN19" s="26">
        <v>8.8000000000000007</v>
      </c>
      <c r="CO19" s="26">
        <v>11.2</v>
      </c>
      <c r="CP19" s="26">
        <v>8.8000000000000007</v>
      </c>
      <c r="CQ19" s="26">
        <v>16.899999999999999</v>
      </c>
      <c r="CR19" s="26">
        <v>8.4</v>
      </c>
      <c r="CS19" s="26">
        <v>12.9</v>
      </c>
      <c r="CT19" s="26">
        <v>7.9</v>
      </c>
      <c r="CU19" s="26">
        <v>7</v>
      </c>
      <c r="CV19" s="26">
        <v>8.6999999999999993</v>
      </c>
      <c r="CW19" s="26">
        <v>8.5</v>
      </c>
      <c r="CX19" s="26">
        <v>8.6999999999999993</v>
      </c>
      <c r="CY19" s="26">
        <v>8.5</v>
      </c>
      <c r="CZ19" s="26">
        <v>8</v>
      </c>
      <c r="DA19" s="26">
        <v>7.9</v>
      </c>
      <c r="DB19" s="26">
        <v>5.2</v>
      </c>
      <c r="DC19" s="26">
        <v>6</v>
      </c>
      <c r="DD19" s="26">
        <v>9.3000000000000007</v>
      </c>
      <c r="DE19" s="26">
        <v>10.3</v>
      </c>
      <c r="DF19" s="26">
        <v>8.5</v>
      </c>
      <c r="DG19" s="26">
        <v>6.3</v>
      </c>
      <c r="DH19" s="26">
        <v>9.1999999999999993</v>
      </c>
      <c r="DI19" s="26">
        <v>6.2</v>
      </c>
      <c r="DJ19" s="26">
        <v>8.1999999999999993</v>
      </c>
      <c r="DK19" s="26">
        <v>12.8</v>
      </c>
      <c r="DL19" s="26">
        <v>8.5</v>
      </c>
      <c r="DM19" s="26">
        <v>10.5</v>
      </c>
      <c r="DN19" s="26">
        <v>9</v>
      </c>
      <c r="DO19" s="26">
        <v>11.3</v>
      </c>
      <c r="DP19" s="26">
        <v>7.7</v>
      </c>
      <c r="DQ19" s="26">
        <v>7.4</v>
      </c>
      <c r="DR19" s="26">
        <v>7.4</v>
      </c>
      <c r="DS19" s="26">
        <v>7.5</v>
      </c>
      <c r="DT19" s="26">
        <v>8.5</v>
      </c>
      <c r="DU19" s="26">
        <v>8.1</v>
      </c>
      <c r="DV19" s="26">
        <v>8.6999999999999993</v>
      </c>
      <c r="DW19" s="26">
        <v>8.1999999999999993</v>
      </c>
      <c r="DX19" s="26">
        <v>8.6</v>
      </c>
      <c r="DY19" s="26">
        <v>8.6</v>
      </c>
      <c r="DZ19" s="26">
        <v>7.9</v>
      </c>
      <c r="EA19" s="26">
        <v>7.9</v>
      </c>
      <c r="EB19" s="26">
        <v>8.4</v>
      </c>
      <c r="EC19" s="26">
        <v>7.9</v>
      </c>
      <c r="ED19" s="26">
        <v>8.8000000000000007</v>
      </c>
      <c r="EE19" s="26">
        <v>9.1</v>
      </c>
      <c r="EF19" s="26">
        <v>8.1999999999999993</v>
      </c>
      <c r="EG19" s="26">
        <v>8.3000000000000007</v>
      </c>
      <c r="EH19" s="26">
        <v>8.4</v>
      </c>
      <c r="EI19" s="26">
        <v>8.1999999999999993</v>
      </c>
      <c r="EJ19" s="26">
        <v>8.6</v>
      </c>
      <c r="EK19" s="26">
        <v>9.9</v>
      </c>
      <c r="EL19" s="26">
        <v>7.7</v>
      </c>
      <c r="EM19" s="26">
        <v>8.9</v>
      </c>
      <c r="EN19" s="26">
        <v>8.1</v>
      </c>
      <c r="EO19" s="26">
        <v>8.3000000000000007</v>
      </c>
      <c r="EP19" s="26">
        <v>8.1</v>
      </c>
      <c r="EQ19" s="26">
        <v>6</v>
      </c>
      <c r="ER19" s="26">
        <v>7.6</v>
      </c>
      <c r="ES19" s="26">
        <v>7.4</v>
      </c>
      <c r="ET19" s="26">
        <v>7.8</v>
      </c>
      <c r="EU19" s="26">
        <v>9.1</v>
      </c>
      <c r="EV19" s="26">
        <v>7.5</v>
      </c>
      <c r="EW19" s="26">
        <v>7.6</v>
      </c>
      <c r="EX19" s="26">
        <v>8.1999999999999993</v>
      </c>
      <c r="EY19" s="26">
        <v>8.6</v>
      </c>
      <c r="EZ19" s="26">
        <v>8.6999999999999993</v>
      </c>
      <c r="FA19" s="26">
        <v>11.9</v>
      </c>
      <c r="FB19" s="26">
        <v>7.8</v>
      </c>
      <c r="FC19" s="26">
        <v>7.9</v>
      </c>
      <c r="FD19" s="26">
        <v>7.4</v>
      </c>
      <c r="FE19" s="26">
        <v>7.9</v>
      </c>
      <c r="FF19" s="26">
        <v>7.9</v>
      </c>
      <c r="FG19" s="26">
        <v>8.8000000000000007</v>
      </c>
      <c r="FH19" s="26">
        <v>7.5</v>
      </c>
      <c r="FI19" s="26">
        <v>7.9</v>
      </c>
      <c r="FJ19" s="26">
        <v>7.9</v>
      </c>
      <c r="FK19" s="26">
        <v>7.8</v>
      </c>
      <c r="FL19" s="26">
        <v>7.7</v>
      </c>
      <c r="FM19" s="26">
        <v>9.3000000000000007</v>
      </c>
      <c r="FN19" s="26">
        <v>7.9</v>
      </c>
      <c r="FO19" s="26">
        <v>7</v>
      </c>
      <c r="FP19" s="26">
        <v>7.4</v>
      </c>
      <c r="FQ19" s="26">
        <v>7.4</v>
      </c>
      <c r="FR19" s="26">
        <v>7.8</v>
      </c>
      <c r="FS19" s="26">
        <v>9.1</v>
      </c>
      <c r="FT19" s="40">
        <v>6.09</v>
      </c>
      <c r="FU19" s="40">
        <v>6.29</v>
      </c>
      <c r="FV19" s="26">
        <v>8.1999999999999993</v>
      </c>
      <c r="FW19" s="26">
        <v>8.4</v>
      </c>
      <c r="FX19" s="26">
        <v>8.1</v>
      </c>
      <c r="FY19" s="26">
        <v>12</v>
      </c>
      <c r="FZ19" s="26">
        <v>8.5</v>
      </c>
      <c r="GA19" s="26">
        <v>6.3</v>
      </c>
    </row>
    <row r="20" spans="1:183" x14ac:dyDescent="0.3">
      <c r="A20" s="36" t="s">
        <v>19</v>
      </c>
      <c r="B20" s="41"/>
      <c r="C20" s="25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5"/>
      <c r="AL20" s="25"/>
      <c r="AM20" s="25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  <c r="CK20" s="26"/>
      <c r="CL20" s="26"/>
      <c r="CM20" s="26"/>
      <c r="CN20" s="26"/>
      <c r="CO20" s="26"/>
      <c r="CP20" s="26"/>
      <c r="CQ20" s="26"/>
      <c r="CR20" s="26"/>
      <c r="CS20" s="26"/>
      <c r="CT20" s="26">
        <v>7.1</v>
      </c>
      <c r="CU20" s="26">
        <v>6.1</v>
      </c>
      <c r="CV20" s="26">
        <v>6.3</v>
      </c>
      <c r="CW20" s="26">
        <v>6</v>
      </c>
      <c r="CX20" s="26">
        <v>6.3</v>
      </c>
      <c r="CY20" s="26">
        <v>6</v>
      </c>
      <c r="CZ20" s="26">
        <v>9.1999999999999993</v>
      </c>
      <c r="DA20" s="26">
        <v>15</v>
      </c>
      <c r="DB20" s="26">
        <v>2.9</v>
      </c>
      <c r="DC20" s="26">
        <v>3.3</v>
      </c>
      <c r="DD20" s="26">
        <v>5.6</v>
      </c>
      <c r="DE20" s="26">
        <v>7.2</v>
      </c>
      <c r="DF20" s="26">
        <v>10.8</v>
      </c>
      <c r="DG20" s="26">
        <v>5.3</v>
      </c>
      <c r="DH20" s="26">
        <v>10.5</v>
      </c>
      <c r="DI20" s="26">
        <v>2.8</v>
      </c>
      <c r="DJ20" s="26">
        <v>8.3000000000000007</v>
      </c>
      <c r="DK20" s="26">
        <v>4.5</v>
      </c>
      <c r="DL20" s="26">
        <v>14.8</v>
      </c>
      <c r="DM20" s="26">
        <v>9.8000000000000007</v>
      </c>
      <c r="DN20" s="26">
        <v>12.3</v>
      </c>
      <c r="DO20" s="26">
        <v>23.1</v>
      </c>
      <c r="DP20" s="26">
        <v>2.4</v>
      </c>
      <c r="DQ20" s="26">
        <v>5.4</v>
      </c>
      <c r="DR20" s="26">
        <v>5.0999999999999996</v>
      </c>
      <c r="DS20" s="26">
        <v>5.7</v>
      </c>
      <c r="DT20" s="26">
        <v>7</v>
      </c>
      <c r="DU20" s="26">
        <v>6.4</v>
      </c>
      <c r="DV20" s="26">
        <v>5.9</v>
      </c>
      <c r="DW20" s="26">
        <v>7.1</v>
      </c>
      <c r="DX20" s="26">
        <v>7.8</v>
      </c>
      <c r="DY20" s="26">
        <v>14.8</v>
      </c>
      <c r="DZ20" s="26">
        <v>6.5</v>
      </c>
      <c r="EA20" s="26">
        <v>7.2</v>
      </c>
      <c r="EB20" s="26">
        <v>5.5</v>
      </c>
      <c r="EC20" s="26">
        <v>6.6</v>
      </c>
      <c r="ED20" s="26">
        <v>6</v>
      </c>
      <c r="EE20" s="26">
        <v>7.8</v>
      </c>
      <c r="EF20" s="26">
        <v>9</v>
      </c>
      <c r="EG20" s="26">
        <v>6</v>
      </c>
      <c r="EH20" s="26">
        <v>8</v>
      </c>
      <c r="EI20" s="26">
        <v>6.2</v>
      </c>
      <c r="EJ20" s="26">
        <v>6.4</v>
      </c>
      <c r="EK20" s="26">
        <v>4.9000000000000004</v>
      </c>
      <c r="EL20" s="26">
        <v>6.6</v>
      </c>
      <c r="EM20" s="26">
        <v>7.9</v>
      </c>
      <c r="EN20" s="26">
        <v>5.4</v>
      </c>
      <c r="EO20" s="26">
        <v>3.6</v>
      </c>
      <c r="EP20" s="26">
        <v>4.7</v>
      </c>
      <c r="EQ20" s="26">
        <v>3.6</v>
      </c>
      <c r="ER20" s="26">
        <v>5.5</v>
      </c>
      <c r="ES20" s="26">
        <v>4.0999999999999996</v>
      </c>
      <c r="ET20" s="26">
        <v>13.3</v>
      </c>
      <c r="EU20" s="26">
        <v>15.9</v>
      </c>
      <c r="EV20" s="26">
        <v>8.8000000000000007</v>
      </c>
      <c r="EW20" s="26">
        <v>9.6</v>
      </c>
      <c r="EX20" s="26">
        <v>7.8</v>
      </c>
      <c r="EY20" s="26">
        <v>8.3000000000000007</v>
      </c>
      <c r="EZ20" s="26">
        <v>8.1</v>
      </c>
      <c r="FA20" s="26">
        <v>12</v>
      </c>
      <c r="FB20" s="26">
        <v>7.9</v>
      </c>
      <c r="FC20" s="26">
        <v>6.5</v>
      </c>
      <c r="FD20" s="26">
        <v>8.1</v>
      </c>
      <c r="FE20" s="26">
        <v>6.9</v>
      </c>
      <c r="FF20" s="26">
        <v>6.3</v>
      </c>
      <c r="FG20" s="26">
        <v>5.7</v>
      </c>
      <c r="FH20" s="26">
        <v>7.6</v>
      </c>
      <c r="FI20" s="26">
        <v>7</v>
      </c>
      <c r="FJ20" s="26">
        <v>8.6999999999999993</v>
      </c>
      <c r="FK20" s="26">
        <v>8.6999999999999993</v>
      </c>
      <c r="FL20" s="26">
        <v>9.6999999999999993</v>
      </c>
      <c r="FM20" s="26">
        <v>10.3</v>
      </c>
      <c r="FN20" s="26">
        <v>7.1</v>
      </c>
      <c r="FO20" s="26">
        <v>6.1</v>
      </c>
      <c r="FP20" s="26">
        <v>5.5</v>
      </c>
      <c r="FQ20" s="26">
        <v>4.0999999999999996</v>
      </c>
      <c r="FR20" s="26">
        <v>13.3</v>
      </c>
      <c r="FS20" s="26">
        <v>15.9</v>
      </c>
      <c r="FT20" s="40">
        <v>5.71</v>
      </c>
      <c r="FU20" s="40">
        <v>6.21</v>
      </c>
      <c r="FV20" s="26">
        <v>7.8</v>
      </c>
      <c r="FW20" s="26">
        <v>8.1999999999999993</v>
      </c>
      <c r="FX20" s="26">
        <v>9</v>
      </c>
      <c r="FY20" s="26">
        <v>12.3</v>
      </c>
      <c r="FZ20" s="26">
        <v>8.8000000000000007</v>
      </c>
      <c r="GA20" s="26">
        <v>5.3</v>
      </c>
    </row>
    <row r="21" spans="1:183" x14ac:dyDescent="0.3">
      <c r="A21" s="36" t="s">
        <v>14</v>
      </c>
      <c r="B21" s="41">
        <v>10.855241483824207</v>
      </c>
      <c r="C21" s="25">
        <v>11.2</v>
      </c>
      <c r="D21" s="26">
        <v>10.1</v>
      </c>
      <c r="E21" s="26">
        <v>9.5</v>
      </c>
      <c r="F21" s="26">
        <v>5.9</v>
      </c>
      <c r="G21" s="26">
        <v>4.9000000000000004</v>
      </c>
      <c r="H21" s="26">
        <v>9.6</v>
      </c>
      <c r="I21" s="26">
        <v>9.1999999999999993</v>
      </c>
      <c r="J21" s="26">
        <v>9.1</v>
      </c>
      <c r="K21" s="26">
        <v>9.5</v>
      </c>
      <c r="L21" s="26">
        <v>7.9</v>
      </c>
      <c r="M21" s="26">
        <v>11.1</v>
      </c>
      <c r="N21" s="26">
        <v>8.5</v>
      </c>
      <c r="O21" s="26">
        <v>4.8</v>
      </c>
      <c r="P21" s="26">
        <v>7.7</v>
      </c>
      <c r="Q21" s="26">
        <v>2.8</v>
      </c>
      <c r="R21" s="26">
        <v>6.2</v>
      </c>
      <c r="S21" s="26">
        <v>16.3</v>
      </c>
      <c r="T21" s="26">
        <v>7.5</v>
      </c>
      <c r="U21" s="26">
        <v>4.3</v>
      </c>
      <c r="V21" s="26">
        <v>6.8</v>
      </c>
      <c r="W21" s="26">
        <v>4.2</v>
      </c>
      <c r="X21" s="26">
        <v>5.8</v>
      </c>
      <c r="Y21" s="26">
        <v>4.7</v>
      </c>
      <c r="Z21" s="26">
        <v>9.1999999999999993</v>
      </c>
      <c r="AA21" s="26">
        <v>6.7</v>
      </c>
      <c r="AB21" s="26">
        <v>8.6</v>
      </c>
      <c r="AC21" s="26">
        <v>8</v>
      </c>
      <c r="AD21" s="26">
        <v>4.5</v>
      </c>
      <c r="AE21" s="26">
        <v>3.1</v>
      </c>
      <c r="AF21" s="26">
        <v>0.8</v>
      </c>
      <c r="AG21" s="26">
        <v>0.6</v>
      </c>
      <c r="AH21" s="26">
        <v>6.7</v>
      </c>
      <c r="AI21" s="26">
        <v>3.7</v>
      </c>
      <c r="AJ21" s="26">
        <v>7.2</v>
      </c>
      <c r="AK21" s="25">
        <v>13.1</v>
      </c>
      <c r="AL21" s="25">
        <v>3.4</v>
      </c>
      <c r="AM21" s="25">
        <v>4.2</v>
      </c>
      <c r="AN21" s="26">
        <v>8.1999999999999993</v>
      </c>
      <c r="AO21" s="26">
        <v>4</v>
      </c>
      <c r="AP21" s="26">
        <v>8.3000000000000007</v>
      </c>
      <c r="AQ21" s="26">
        <v>4.0999999999999996</v>
      </c>
      <c r="AR21" s="26">
        <v>9.6999999999999993</v>
      </c>
      <c r="AS21" s="26">
        <v>6.6</v>
      </c>
      <c r="AT21" s="26">
        <v>11.8</v>
      </c>
      <c r="AU21" s="26">
        <v>11.8</v>
      </c>
      <c r="AV21" s="26">
        <v>8.9</v>
      </c>
      <c r="AW21" s="26">
        <v>10.7</v>
      </c>
      <c r="AX21" s="26">
        <v>7.1</v>
      </c>
      <c r="AY21" s="26">
        <v>4.5999999999999996</v>
      </c>
      <c r="AZ21" s="26">
        <v>7.8</v>
      </c>
      <c r="BA21" s="26">
        <v>6.5</v>
      </c>
      <c r="BB21" s="26">
        <v>7.1</v>
      </c>
      <c r="BC21" s="26">
        <v>6.2</v>
      </c>
      <c r="BD21" s="26">
        <v>7.7</v>
      </c>
      <c r="BE21" s="26">
        <v>8.6999999999999993</v>
      </c>
      <c r="BF21" s="26">
        <v>6.4</v>
      </c>
      <c r="BG21" s="26">
        <v>8.6</v>
      </c>
      <c r="BH21" s="26">
        <v>7.4</v>
      </c>
      <c r="BI21" s="26">
        <v>10.4</v>
      </c>
      <c r="BJ21" s="26">
        <v>6.1</v>
      </c>
      <c r="BK21" s="26">
        <v>3.9</v>
      </c>
      <c r="BL21" s="26">
        <v>6.8</v>
      </c>
      <c r="BM21" s="26">
        <v>1.8</v>
      </c>
      <c r="BN21" s="26">
        <v>7.5</v>
      </c>
      <c r="BO21" s="26">
        <v>3.1</v>
      </c>
      <c r="BP21" s="26">
        <v>8.5</v>
      </c>
      <c r="BQ21" s="26">
        <v>10.7</v>
      </c>
      <c r="BR21" s="26">
        <v>8</v>
      </c>
      <c r="BS21" s="26">
        <v>12.5</v>
      </c>
      <c r="BT21" s="26">
        <v>8.3000000000000007</v>
      </c>
      <c r="BU21" s="26">
        <v>12.9</v>
      </c>
      <c r="BV21" s="26">
        <v>7.3</v>
      </c>
      <c r="BW21" s="26">
        <v>3.9</v>
      </c>
      <c r="BX21" s="26">
        <v>13.5</v>
      </c>
      <c r="BY21" s="26">
        <v>9.4</v>
      </c>
      <c r="BZ21" s="26">
        <v>7.6</v>
      </c>
      <c r="CA21" s="26">
        <v>9.8000000000000007</v>
      </c>
      <c r="CB21" s="26">
        <v>8.4</v>
      </c>
      <c r="CC21" s="26">
        <v>12.6</v>
      </c>
      <c r="CD21" s="26">
        <v>9.3000000000000007</v>
      </c>
      <c r="CE21" s="26">
        <v>13.5</v>
      </c>
      <c r="CF21" s="26">
        <v>9</v>
      </c>
      <c r="CG21" s="26">
        <v>12.3</v>
      </c>
      <c r="CH21" s="26">
        <v>8.1999999999999993</v>
      </c>
      <c r="CI21" s="26">
        <v>4.5</v>
      </c>
      <c r="CJ21" s="26">
        <v>6.6</v>
      </c>
      <c r="CK21" s="26">
        <v>3.2</v>
      </c>
      <c r="CL21" s="26">
        <v>6.7</v>
      </c>
      <c r="CM21" s="26">
        <v>4.0999999999999996</v>
      </c>
      <c r="CN21" s="26">
        <v>7.8</v>
      </c>
      <c r="CO21" s="26">
        <v>4.8</v>
      </c>
      <c r="CP21" s="26">
        <v>8.1999999999999993</v>
      </c>
      <c r="CQ21" s="26">
        <v>13.3</v>
      </c>
      <c r="CR21" s="26">
        <v>7.8</v>
      </c>
      <c r="CS21" s="26">
        <v>9.6</v>
      </c>
      <c r="CT21" s="26">
        <v>8</v>
      </c>
      <c r="CU21" s="26">
        <v>7.1</v>
      </c>
      <c r="CV21" s="26">
        <v>8.5</v>
      </c>
      <c r="CW21" s="26">
        <v>8.5</v>
      </c>
      <c r="CX21" s="26">
        <v>8.5</v>
      </c>
      <c r="CY21" s="26">
        <v>8.5</v>
      </c>
      <c r="CZ21" s="26">
        <v>11.2</v>
      </c>
      <c r="DA21" s="26">
        <v>16.5</v>
      </c>
      <c r="DB21" s="26">
        <v>2.5</v>
      </c>
      <c r="DC21" s="26">
        <v>2.5</v>
      </c>
      <c r="DD21" s="26">
        <v>11</v>
      </c>
      <c r="DE21" s="26">
        <v>10.1</v>
      </c>
      <c r="DF21" s="26">
        <v>9</v>
      </c>
      <c r="DG21" s="26">
        <v>5.4</v>
      </c>
      <c r="DH21" s="26">
        <v>8.1</v>
      </c>
      <c r="DI21" s="26">
        <v>3.4</v>
      </c>
      <c r="DJ21" s="26">
        <v>7.9</v>
      </c>
      <c r="DK21" s="26">
        <v>12.7</v>
      </c>
      <c r="DL21" s="26">
        <v>8.8000000000000007</v>
      </c>
      <c r="DM21" s="26">
        <v>8.9</v>
      </c>
      <c r="DN21" s="26">
        <v>10.7</v>
      </c>
      <c r="DO21" s="26">
        <v>8.9</v>
      </c>
      <c r="DP21" s="26">
        <v>5.9</v>
      </c>
      <c r="DQ21" s="26">
        <v>5.8</v>
      </c>
      <c r="DR21" s="26">
        <v>6.9</v>
      </c>
      <c r="DS21" s="26">
        <v>5.9</v>
      </c>
      <c r="DT21" s="26">
        <v>6.8</v>
      </c>
      <c r="DU21" s="26">
        <v>5.9</v>
      </c>
      <c r="DV21" s="26">
        <v>5.5</v>
      </c>
      <c r="DW21" s="26">
        <v>4.8</v>
      </c>
      <c r="DX21" s="26">
        <v>5.9</v>
      </c>
      <c r="DY21" s="26">
        <v>8.1999999999999993</v>
      </c>
      <c r="DZ21" s="26">
        <v>6.5</v>
      </c>
      <c r="EA21" s="26">
        <v>8</v>
      </c>
      <c r="EB21" s="26">
        <v>7.6</v>
      </c>
      <c r="EC21" s="26">
        <v>7.9</v>
      </c>
      <c r="ED21" s="26">
        <v>7</v>
      </c>
      <c r="EE21" s="26">
        <v>6.4</v>
      </c>
      <c r="EF21" s="26">
        <v>7</v>
      </c>
      <c r="EG21" s="26">
        <v>7.5</v>
      </c>
      <c r="EH21" s="26">
        <v>8.1999999999999993</v>
      </c>
      <c r="EI21" s="26">
        <v>9</v>
      </c>
      <c r="EJ21" s="26">
        <v>7.3</v>
      </c>
      <c r="EK21" s="26">
        <v>7.5</v>
      </c>
      <c r="EL21" s="26">
        <v>20.399999999999999</v>
      </c>
      <c r="EM21" s="26">
        <v>18.899999999999999</v>
      </c>
      <c r="EN21" s="26">
        <v>9.4</v>
      </c>
      <c r="EO21" s="26">
        <v>10.7</v>
      </c>
      <c r="EP21" s="26">
        <v>6.8</v>
      </c>
      <c r="EQ21" s="26">
        <v>4.5999999999999996</v>
      </c>
      <c r="ER21" s="26">
        <v>7</v>
      </c>
      <c r="ES21" s="26">
        <v>6</v>
      </c>
      <c r="ET21" s="26">
        <v>8.1999999999999993</v>
      </c>
      <c r="EU21" s="26">
        <v>8.6999999999999993</v>
      </c>
      <c r="EV21" s="26">
        <v>8.1999999999999993</v>
      </c>
      <c r="EW21" s="26">
        <v>9.4</v>
      </c>
      <c r="EX21" s="26">
        <v>7.7</v>
      </c>
      <c r="EY21" s="26">
        <v>7.4</v>
      </c>
      <c r="EZ21" s="26">
        <v>8.5</v>
      </c>
      <c r="FA21" s="26">
        <v>1.2</v>
      </c>
      <c r="FB21" s="26">
        <v>7.8</v>
      </c>
      <c r="FC21" s="26">
        <v>7.3</v>
      </c>
      <c r="FD21" s="26">
        <v>8.5</v>
      </c>
      <c r="FE21" s="26">
        <v>9</v>
      </c>
      <c r="FF21" s="26">
        <v>7.7</v>
      </c>
      <c r="FG21" s="26">
        <v>8.4</v>
      </c>
      <c r="FH21" s="26">
        <v>8.8000000000000007</v>
      </c>
      <c r="FI21" s="26">
        <v>8.4</v>
      </c>
      <c r="FJ21" s="26">
        <v>8.3000000000000007</v>
      </c>
      <c r="FK21" s="26">
        <v>8.6</v>
      </c>
      <c r="FL21" s="26">
        <v>8.1</v>
      </c>
      <c r="FM21" s="26">
        <v>9.6</v>
      </c>
      <c r="FN21" s="26">
        <v>8</v>
      </c>
      <c r="FO21" s="26">
        <v>7.1</v>
      </c>
      <c r="FP21" s="26">
        <v>7.2</v>
      </c>
      <c r="FQ21" s="26">
        <v>6</v>
      </c>
      <c r="FR21" s="26">
        <v>8.1999999999999993</v>
      </c>
      <c r="FS21" s="26">
        <v>8.6999999999999993</v>
      </c>
      <c r="FT21" s="40">
        <v>6.32</v>
      </c>
      <c r="FU21" s="40">
        <v>5.62</v>
      </c>
      <c r="FV21" s="26">
        <v>7.7</v>
      </c>
      <c r="FW21" s="26">
        <v>7.2</v>
      </c>
      <c r="FX21" s="26">
        <v>9.1999999999999993</v>
      </c>
      <c r="FY21" s="26">
        <v>12.3</v>
      </c>
      <c r="FZ21" s="26">
        <v>9</v>
      </c>
      <c r="GA21" s="26">
        <v>5.4</v>
      </c>
    </row>
    <row r="22" spans="1:183" x14ac:dyDescent="0.3">
      <c r="A22" s="36" t="s">
        <v>15</v>
      </c>
      <c r="B22" s="41">
        <v>8.8783339422725618</v>
      </c>
      <c r="C22" s="25">
        <v>8.8000000000000007</v>
      </c>
      <c r="D22" s="26">
        <v>8.9</v>
      </c>
      <c r="E22" s="26">
        <v>8.5</v>
      </c>
      <c r="F22" s="26">
        <v>7.2</v>
      </c>
      <c r="G22" s="26">
        <v>6</v>
      </c>
      <c r="H22" s="26">
        <v>9.1</v>
      </c>
      <c r="I22" s="26">
        <v>9</v>
      </c>
      <c r="J22" s="26">
        <v>7.8</v>
      </c>
      <c r="K22" s="26">
        <v>10.3</v>
      </c>
      <c r="L22" s="26">
        <v>7.8</v>
      </c>
      <c r="M22" s="26">
        <v>13.6</v>
      </c>
      <c r="N22" s="26">
        <v>8.3000000000000007</v>
      </c>
      <c r="O22" s="26">
        <v>4.9000000000000004</v>
      </c>
      <c r="P22" s="26">
        <v>7.5</v>
      </c>
      <c r="Q22" s="26">
        <v>1.7</v>
      </c>
      <c r="R22" s="26">
        <v>7</v>
      </c>
      <c r="S22" s="26">
        <v>14.5</v>
      </c>
      <c r="T22" s="26">
        <v>7.7</v>
      </c>
      <c r="U22" s="26">
        <v>4.3</v>
      </c>
      <c r="V22" s="26">
        <v>7.6</v>
      </c>
      <c r="W22" s="26">
        <v>4.5999999999999996</v>
      </c>
      <c r="X22" s="26">
        <v>7.1</v>
      </c>
      <c r="Y22" s="26">
        <v>8.6999999999999993</v>
      </c>
      <c r="Z22" s="26">
        <v>6.9</v>
      </c>
      <c r="AA22" s="26">
        <v>5.7</v>
      </c>
      <c r="AB22" s="26">
        <v>8.8000000000000007</v>
      </c>
      <c r="AC22" s="26">
        <v>8.8000000000000007</v>
      </c>
      <c r="AD22" s="26">
        <v>4.5999999999999996</v>
      </c>
      <c r="AE22" s="26">
        <v>4.0999999999999996</v>
      </c>
      <c r="AF22" s="26">
        <v>0</v>
      </c>
      <c r="AG22" s="26">
        <v>0</v>
      </c>
      <c r="AH22" s="26">
        <v>9.1999999999999993</v>
      </c>
      <c r="AI22" s="26">
        <v>10.5</v>
      </c>
      <c r="AJ22" s="26">
        <v>8.5</v>
      </c>
      <c r="AK22" s="25">
        <v>17</v>
      </c>
      <c r="AL22" s="25">
        <v>4.0999999999999996</v>
      </c>
      <c r="AM22" s="25">
        <v>4.0999999999999996</v>
      </c>
      <c r="AN22" s="26">
        <v>9.8000000000000007</v>
      </c>
      <c r="AO22" s="26">
        <v>3.1</v>
      </c>
      <c r="AP22" s="26">
        <v>10.8</v>
      </c>
      <c r="AQ22" s="26">
        <v>4.2</v>
      </c>
      <c r="AR22" s="26">
        <v>9.8000000000000007</v>
      </c>
      <c r="AS22" s="26">
        <v>10.6</v>
      </c>
      <c r="AT22" s="26">
        <v>9.5</v>
      </c>
      <c r="AU22" s="26">
        <v>13.8</v>
      </c>
      <c r="AV22" s="26">
        <v>6.5</v>
      </c>
      <c r="AW22" s="26">
        <v>6.5</v>
      </c>
      <c r="AX22" s="26">
        <v>7</v>
      </c>
      <c r="AY22" s="26">
        <v>5.4</v>
      </c>
      <c r="AZ22" s="26">
        <v>7.3</v>
      </c>
      <c r="BA22" s="26">
        <v>7.4</v>
      </c>
      <c r="BB22" s="26">
        <v>7.4</v>
      </c>
      <c r="BC22" s="26">
        <v>7.7</v>
      </c>
      <c r="BD22" s="26">
        <v>8.4</v>
      </c>
      <c r="BE22" s="26">
        <v>12.4</v>
      </c>
      <c r="BF22" s="26">
        <v>7.3</v>
      </c>
      <c r="BG22" s="26">
        <v>11.6</v>
      </c>
      <c r="BH22" s="26">
        <v>8.9</v>
      </c>
      <c r="BI22" s="26">
        <v>13.5</v>
      </c>
      <c r="BJ22" s="26">
        <v>8</v>
      </c>
      <c r="BK22" s="26">
        <v>5.2</v>
      </c>
      <c r="BL22" s="26">
        <v>7.2</v>
      </c>
      <c r="BM22" s="26">
        <v>2.7</v>
      </c>
      <c r="BN22" s="26">
        <v>9</v>
      </c>
      <c r="BO22" s="26">
        <v>2.7</v>
      </c>
      <c r="BP22" s="26">
        <v>8.1</v>
      </c>
      <c r="BQ22" s="26">
        <v>6.4</v>
      </c>
      <c r="BR22" s="26">
        <v>7.3</v>
      </c>
      <c r="BS22" s="26">
        <v>7.1</v>
      </c>
      <c r="BT22" s="26">
        <v>8.9</v>
      </c>
      <c r="BU22" s="26">
        <v>10.8</v>
      </c>
      <c r="BV22" s="26">
        <v>7.5</v>
      </c>
      <c r="BW22" s="26">
        <v>3.8</v>
      </c>
      <c r="BX22" s="26">
        <v>10</v>
      </c>
      <c r="BY22" s="26">
        <v>11.9</v>
      </c>
      <c r="BZ22" s="26">
        <v>8.6999999999999993</v>
      </c>
      <c r="CA22" s="26">
        <v>11.8</v>
      </c>
      <c r="CB22" s="26">
        <v>9.1</v>
      </c>
      <c r="CC22" s="26">
        <v>18.5</v>
      </c>
      <c r="CD22" s="26">
        <v>8.4</v>
      </c>
      <c r="CE22" s="26">
        <v>11.9</v>
      </c>
      <c r="CF22" s="26">
        <v>9.1999999999999993</v>
      </c>
      <c r="CG22" s="26">
        <v>12.3</v>
      </c>
      <c r="CH22" s="26">
        <v>8.5</v>
      </c>
      <c r="CI22" s="26">
        <v>4.2</v>
      </c>
      <c r="CJ22" s="26">
        <v>9.5</v>
      </c>
      <c r="CK22" s="26">
        <v>1.7</v>
      </c>
      <c r="CL22" s="26">
        <v>8.3000000000000007</v>
      </c>
      <c r="CM22" s="26">
        <v>2.5</v>
      </c>
      <c r="CN22" s="26">
        <v>7.7</v>
      </c>
      <c r="CO22" s="26">
        <v>3.6</v>
      </c>
      <c r="CP22" s="26">
        <v>6</v>
      </c>
      <c r="CQ22" s="26">
        <v>9.1</v>
      </c>
      <c r="CR22" s="26">
        <v>6.3</v>
      </c>
      <c r="CS22" s="26">
        <v>6.1</v>
      </c>
      <c r="CT22" s="26">
        <v>8</v>
      </c>
      <c r="CU22" s="26">
        <v>7.6</v>
      </c>
      <c r="CV22" s="26">
        <v>7.7</v>
      </c>
      <c r="CW22" s="26">
        <v>8.1999999999999993</v>
      </c>
      <c r="CX22" s="26">
        <v>7.7</v>
      </c>
      <c r="CY22" s="26">
        <v>8.1999999999999993</v>
      </c>
      <c r="CZ22" s="26">
        <v>9.6999999999999993</v>
      </c>
      <c r="DA22" s="26">
        <v>21.2</v>
      </c>
      <c r="DB22" s="26">
        <v>8.4</v>
      </c>
      <c r="DC22" s="26">
        <v>11.3</v>
      </c>
      <c r="DD22" s="26">
        <v>8.6</v>
      </c>
      <c r="DE22" s="26">
        <v>9.5</v>
      </c>
      <c r="DF22" s="26">
        <v>9.3000000000000007</v>
      </c>
      <c r="DG22" s="26">
        <v>3.3</v>
      </c>
      <c r="DH22" s="26">
        <v>8.6</v>
      </c>
      <c r="DI22" s="26">
        <v>1.6</v>
      </c>
      <c r="DJ22" s="26">
        <v>8.8000000000000007</v>
      </c>
      <c r="DK22" s="26">
        <v>5</v>
      </c>
      <c r="DL22" s="26">
        <v>9.8000000000000007</v>
      </c>
      <c r="DM22" s="26">
        <v>10.4</v>
      </c>
      <c r="DN22" s="26">
        <v>6.7</v>
      </c>
      <c r="DO22" s="26">
        <v>13.3</v>
      </c>
      <c r="DP22" s="26">
        <v>5.2</v>
      </c>
      <c r="DQ22" s="26">
        <v>6.3</v>
      </c>
      <c r="DR22" s="26">
        <v>7.8</v>
      </c>
      <c r="DS22" s="26">
        <v>7.7</v>
      </c>
      <c r="DT22" s="26">
        <v>9.1999999999999993</v>
      </c>
      <c r="DU22" s="26">
        <v>6.9</v>
      </c>
      <c r="DV22" s="26">
        <v>7.7</v>
      </c>
      <c r="DW22" s="26">
        <v>7</v>
      </c>
      <c r="DX22" s="26">
        <v>8.1</v>
      </c>
      <c r="DY22" s="26">
        <v>13.4</v>
      </c>
      <c r="DZ22" s="26">
        <v>6.6</v>
      </c>
      <c r="EA22" s="26">
        <v>7.6</v>
      </c>
      <c r="EB22" s="26">
        <v>7.6</v>
      </c>
      <c r="EC22" s="26">
        <v>7.6</v>
      </c>
      <c r="ED22" s="26">
        <v>7.6</v>
      </c>
      <c r="EE22" s="26">
        <v>6.3</v>
      </c>
      <c r="EF22" s="26">
        <v>7</v>
      </c>
      <c r="EG22" s="26">
        <v>6.9</v>
      </c>
      <c r="EH22" s="26">
        <v>6.3</v>
      </c>
      <c r="EI22" s="26">
        <v>5.3</v>
      </c>
      <c r="EJ22" s="26">
        <v>6.1</v>
      </c>
      <c r="EK22" s="26">
        <v>5.5</v>
      </c>
      <c r="EL22" s="26">
        <v>6.6</v>
      </c>
      <c r="EM22" s="26">
        <v>6.8</v>
      </c>
      <c r="EN22" s="26">
        <v>5.7</v>
      </c>
      <c r="EO22" s="26">
        <v>4.7</v>
      </c>
      <c r="EP22" s="26">
        <v>6.3</v>
      </c>
      <c r="EQ22" s="26">
        <v>5.8</v>
      </c>
      <c r="ER22" s="26">
        <v>7.3</v>
      </c>
      <c r="ES22" s="26">
        <v>6.4</v>
      </c>
      <c r="ET22" s="26">
        <v>6.8</v>
      </c>
      <c r="EU22" s="26">
        <v>8.1</v>
      </c>
      <c r="EV22" s="26">
        <v>9.1999999999999993</v>
      </c>
      <c r="EW22" s="26">
        <v>12.7</v>
      </c>
      <c r="EX22" s="26">
        <v>7.2</v>
      </c>
      <c r="EY22" s="26">
        <v>7.8</v>
      </c>
      <c r="EZ22" s="26">
        <v>7.5</v>
      </c>
      <c r="FA22" s="26">
        <v>2</v>
      </c>
      <c r="FB22" s="26">
        <v>8.4</v>
      </c>
      <c r="FC22" s="26">
        <v>6.5</v>
      </c>
      <c r="FD22" s="26">
        <v>6.8</v>
      </c>
      <c r="FE22" s="26">
        <v>7.4</v>
      </c>
      <c r="FF22" s="26">
        <v>7.4</v>
      </c>
      <c r="FG22" s="26">
        <v>5.7</v>
      </c>
      <c r="FH22" s="26">
        <v>7.6</v>
      </c>
      <c r="FI22" s="26">
        <v>7.5</v>
      </c>
      <c r="FJ22" s="26">
        <v>7.4</v>
      </c>
      <c r="FK22" s="26">
        <v>6</v>
      </c>
      <c r="FL22" s="26">
        <v>7.5</v>
      </c>
      <c r="FM22" s="26">
        <v>7</v>
      </c>
      <c r="FN22" s="26">
        <v>8</v>
      </c>
      <c r="FO22" s="26">
        <v>7.6</v>
      </c>
      <c r="FP22" s="26">
        <v>7.2</v>
      </c>
      <c r="FQ22" s="26">
        <v>6.1</v>
      </c>
      <c r="FR22" s="26">
        <v>6.8</v>
      </c>
      <c r="FS22" s="26">
        <v>8.1</v>
      </c>
      <c r="FT22" s="40">
        <v>5.14</v>
      </c>
      <c r="FU22" s="40">
        <v>5.99</v>
      </c>
      <c r="FV22" s="26">
        <v>7.2</v>
      </c>
      <c r="FW22" s="26">
        <v>7.6</v>
      </c>
      <c r="FX22" s="26">
        <v>8.6</v>
      </c>
      <c r="FY22" s="26">
        <v>8.1</v>
      </c>
      <c r="FZ22" s="26">
        <v>8.3000000000000007</v>
      </c>
      <c r="GA22" s="26">
        <v>3.3</v>
      </c>
    </row>
    <row r="23" spans="1:183" x14ac:dyDescent="0.3">
      <c r="A23" s="36" t="s">
        <v>16</v>
      </c>
      <c r="B23" s="41">
        <v>8.5626307686234266</v>
      </c>
      <c r="C23" s="25">
        <v>8.6</v>
      </c>
      <c r="D23" s="26">
        <v>8.8000000000000007</v>
      </c>
      <c r="E23" s="26">
        <v>8.9</v>
      </c>
      <c r="F23" s="26">
        <v>8.1</v>
      </c>
      <c r="G23" s="26">
        <v>8.1999999999999993</v>
      </c>
      <c r="H23" s="26">
        <v>7</v>
      </c>
      <c r="I23" s="26">
        <v>7</v>
      </c>
      <c r="J23" s="26">
        <v>8.6999999999999993</v>
      </c>
      <c r="K23" s="26">
        <v>7.8</v>
      </c>
      <c r="L23" s="26">
        <v>8.1999999999999993</v>
      </c>
      <c r="M23" s="26">
        <v>8.5</v>
      </c>
      <c r="N23" s="26">
        <v>8.4</v>
      </c>
      <c r="O23" s="26">
        <v>3.5</v>
      </c>
      <c r="P23" s="26">
        <v>8.1999999999999993</v>
      </c>
      <c r="Q23" s="26">
        <v>0.4</v>
      </c>
      <c r="R23" s="26">
        <v>7.9</v>
      </c>
      <c r="S23" s="26">
        <v>20.7</v>
      </c>
      <c r="T23" s="26">
        <v>4.4000000000000004</v>
      </c>
      <c r="U23" s="26">
        <v>7.1</v>
      </c>
      <c r="V23" s="26">
        <v>2.7</v>
      </c>
      <c r="W23" s="26">
        <v>0.4</v>
      </c>
      <c r="X23" s="26">
        <v>13.4</v>
      </c>
      <c r="Y23" s="26">
        <v>13.9</v>
      </c>
      <c r="Z23" s="26">
        <v>9.1</v>
      </c>
      <c r="AA23" s="26">
        <v>8.3000000000000007</v>
      </c>
      <c r="AB23" s="26">
        <v>8.8000000000000007</v>
      </c>
      <c r="AC23" s="26">
        <v>10.5</v>
      </c>
      <c r="AD23" s="26">
        <v>6.3</v>
      </c>
      <c r="AE23" s="26">
        <v>4</v>
      </c>
      <c r="AF23" s="26">
        <v>0</v>
      </c>
      <c r="AG23" s="26">
        <v>0</v>
      </c>
      <c r="AH23" s="26">
        <v>6.3</v>
      </c>
      <c r="AI23" s="26">
        <v>4.2</v>
      </c>
      <c r="AJ23" s="26">
        <v>6.4</v>
      </c>
      <c r="AK23" s="25">
        <v>7.7</v>
      </c>
      <c r="AL23" s="25">
        <v>1.8</v>
      </c>
      <c r="AM23" s="25">
        <v>0.6</v>
      </c>
      <c r="AN23" s="26">
        <v>9.1</v>
      </c>
      <c r="AO23" s="26">
        <v>0.7</v>
      </c>
      <c r="AP23" s="26">
        <v>11</v>
      </c>
      <c r="AQ23" s="26">
        <v>0.7</v>
      </c>
      <c r="AR23" s="26">
        <v>8.9</v>
      </c>
      <c r="AS23" s="26">
        <v>6.7</v>
      </c>
      <c r="AT23" s="26">
        <v>12.2</v>
      </c>
      <c r="AU23" s="26">
        <v>19.2</v>
      </c>
      <c r="AV23" s="26">
        <v>17.7</v>
      </c>
      <c r="AW23" s="26">
        <v>27.4</v>
      </c>
      <c r="AX23" s="26">
        <v>8.1</v>
      </c>
      <c r="AY23" s="26">
        <v>6.8</v>
      </c>
      <c r="AZ23" s="26">
        <v>7.9</v>
      </c>
      <c r="BA23" s="26">
        <v>7.4</v>
      </c>
      <c r="BB23" s="26">
        <v>7.4</v>
      </c>
      <c r="BC23" s="26">
        <v>7.6</v>
      </c>
      <c r="BD23" s="26">
        <v>7.8</v>
      </c>
      <c r="BE23" s="26">
        <v>7.9</v>
      </c>
      <c r="BF23" s="26">
        <v>7.7</v>
      </c>
      <c r="BG23" s="26">
        <v>8</v>
      </c>
      <c r="BH23" s="26">
        <v>8.3000000000000007</v>
      </c>
      <c r="BI23" s="26">
        <v>8</v>
      </c>
      <c r="BJ23" s="26">
        <v>7.2</v>
      </c>
      <c r="BK23" s="26">
        <v>3.3</v>
      </c>
      <c r="BL23" s="26">
        <v>7.3</v>
      </c>
      <c r="BM23" s="26">
        <v>0.5</v>
      </c>
      <c r="BN23" s="26">
        <v>8.5</v>
      </c>
      <c r="BO23" s="26">
        <v>1</v>
      </c>
      <c r="BP23" s="26">
        <v>8.6</v>
      </c>
      <c r="BQ23" s="26">
        <v>7</v>
      </c>
      <c r="BR23" s="26">
        <v>10.6</v>
      </c>
      <c r="BS23" s="26">
        <v>16</v>
      </c>
      <c r="BT23" s="26">
        <v>10.8</v>
      </c>
      <c r="BU23" s="26">
        <v>21.7</v>
      </c>
      <c r="BV23" s="26">
        <v>4.2</v>
      </c>
      <c r="BW23" s="26">
        <v>2.9</v>
      </c>
      <c r="BX23" s="26">
        <v>1.1000000000000001</v>
      </c>
      <c r="BY23" s="26">
        <v>0.9</v>
      </c>
      <c r="BZ23" s="26">
        <v>12.4</v>
      </c>
      <c r="CA23" s="26">
        <v>13.6</v>
      </c>
      <c r="CB23" s="26">
        <v>14.9</v>
      </c>
      <c r="CC23" s="26">
        <v>16.600000000000001</v>
      </c>
      <c r="CD23" s="26">
        <v>10.5</v>
      </c>
      <c r="CE23" s="26">
        <v>11.2</v>
      </c>
      <c r="CF23" s="26">
        <v>10.8</v>
      </c>
      <c r="CG23" s="26">
        <v>10.1</v>
      </c>
      <c r="CH23" s="26">
        <v>7.9</v>
      </c>
      <c r="CI23" s="26">
        <v>3.6</v>
      </c>
      <c r="CJ23" s="26">
        <v>9.1999999999999993</v>
      </c>
      <c r="CK23" s="26">
        <v>0.8</v>
      </c>
      <c r="CL23" s="26">
        <v>9.3000000000000007</v>
      </c>
      <c r="CM23" s="26">
        <v>0.9</v>
      </c>
      <c r="CN23" s="26">
        <v>8.9</v>
      </c>
      <c r="CO23" s="26">
        <v>11.7</v>
      </c>
      <c r="CP23" s="26">
        <v>8.9</v>
      </c>
      <c r="CQ23" s="26">
        <v>17.7</v>
      </c>
      <c r="CR23" s="26">
        <v>8.4</v>
      </c>
      <c r="CS23" s="26">
        <v>8.4</v>
      </c>
      <c r="CT23" s="26">
        <v>7.7</v>
      </c>
      <c r="CU23" s="26">
        <v>7</v>
      </c>
      <c r="CV23" s="26">
        <v>9.6999999999999993</v>
      </c>
      <c r="CW23" s="26">
        <v>9</v>
      </c>
      <c r="CX23" s="26">
        <v>9.6999999999999993</v>
      </c>
      <c r="CY23" s="26">
        <v>9</v>
      </c>
      <c r="CZ23" s="26">
        <v>9.4</v>
      </c>
      <c r="DA23" s="26">
        <v>9.1999999999999993</v>
      </c>
      <c r="DB23" s="26">
        <v>8.9</v>
      </c>
      <c r="DC23" s="26">
        <v>9</v>
      </c>
      <c r="DD23" s="26">
        <v>9</v>
      </c>
      <c r="DE23" s="26">
        <v>7.9</v>
      </c>
      <c r="DF23" s="26">
        <v>8.9</v>
      </c>
      <c r="DG23" s="26">
        <v>2.6</v>
      </c>
      <c r="DH23" s="26">
        <v>9.4</v>
      </c>
      <c r="DI23" s="26">
        <v>4.2</v>
      </c>
      <c r="DJ23" s="26">
        <v>9</v>
      </c>
      <c r="DK23" s="26">
        <v>19.899999999999999</v>
      </c>
      <c r="DL23" s="26">
        <v>6.3</v>
      </c>
      <c r="DM23" s="26">
        <v>8.9</v>
      </c>
      <c r="DN23" s="26">
        <v>7</v>
      </c>
      <c r="DO23" s="26">
        <v>9.4</v>
      </c>
      <c r="DP23" s="26">
        <v>5.9</v>
      </c>
      <c r="DQ23" s="26">
        <v>7.2</v>
      </c>
      <c r="DR23" s="26">
        <v>5.7</v>
      </c>
      <c r="DS23" s="26">
        <v>5</v>
      </c>
      <c r="DT23" s="26">
        <v>8</v>
      </c>
      <c r="DU23" s="26">
        <v>8</v>
      </c>
      <c r="DV23" s="26">
        <v>7.9</v>
      </c>
      <c r="DW23" s="26">
        <v>7.4</v>
      </c>
      <c r="DX23" s="26">
        <v>8.4</v>
      </c>
      <c r="DY23" s="26">
        <v>9.3000000000000007</v>
      </c>
      <c r="DZ23" s="26">
        <v>8.4</v>
      </c>
      <c r="EA23" s="26">
        <v>9.1999999999999993</v>
      </c>
      <c r="EB23" s="26">
        <v>11.5</v>
      </c>
      <c r="EC23" s="26">
        <v>11.6</v>
      </c>
      <c r="ED23" s="26">
        <v>10</v>
      </c>
      <c r="EE23" s="26">
        <v>9.3000000000000007</v>
      </c>
      <c r="EF23" s="26">
        <v>8.8000000000000007</v>
      </c>
      <c r="EG23" s="26">
        <v>7.8</v>
      </c>
      <c r="EH23" s="26">
        <v>8.5</v>
      </c>
      <c r="EI23" s="26">
        <v>9.1999999999999993</v>
      </c>
      <c r="EJ23" s="26">
        <v>8.3000000000000007</v>
      </c>
      <c r="EK23" s="26">
        <v>8.4</v>
      </c>
      <c r="EL23" s="26">
        <v>8.6</v>
      </c>
      <c r="EM23" s="26">
        <v>7.9</v>
      </c>
      <c r="EN23" s="26">
        <v>7.7</v>
      </c>
      <c r="EO23" s="26">
        <v>9.4</v>
      </c>
      <c r="EP23" s="26">
        <v>7.9</v>
      </c>
      <c r="EQ23" s="26">
        <v>7.4</v>
      </c>
      <c r="ER23" s="26">
        <v>7.8</v>
      </c>
      <c r="ES23" s="26">
        <v>7.9</v>
      </c>
      <c r="ET23" s="26">
        <v>8.6</v>
      </c>
      <c r="EU23" s="26">
        <v>9.1</v>
      </c>
      <c r="EV23" s="26">
        <v>8.1</v>
      </c>
      <c r="EW23" s="26">
        <v>8.1999999999999993</v>
      </c>
      <c r="EX23" s="26">
        <v>8.1</v>
      </c>
      <c r="EY23" s="26">
        <v>8.4</v>
      </c>
      <c r="EZ23" s="26">
        <v>7.7</v>
      </c>
      <c r="FA23" s="26">
        <v>3.7</v>
      </c>
      <c r="FB23" s="26">
        <v>8.3000000000000007</v>
      </c>
      <c r="FC23" s="26">
        <v>9</v>
      </c>
      <c r="FD23" s="26">
        <v>7.2</v>
      </c>
      <c r="FE23" s="26">
        <v>7.3</v>
      </c>
      <c r="FF23" s="26">
        <v>7.5</v>
      </c>
      <c r="FG23" s="26">
        <v>8.1</v>
      </c>
      <c r="FH23" s="26">
        <v>7.6</v>
      </c>
      <c r="FI23" s="26">
        <v>8.8000000000000007</v>
      </c>
      <c r="FJ23" s="26">
        <v>7.9</v>
      </c>
      <c r="FK23" s="26">
        <v>8.3000000000000007</v>
      </c>
      <c r="FL23" s="26">
        <v>8</v>
      </c>
      <c r="FM23" s="26">
        <v>8.8000000000000007</v>
      </c>
      <c r="FN23" s="26">
        <v>7.1</v>
      </c>
      <c r="FO23" s="26">
        <v>7.2</v>
      </c>
      <c r="FP23" s="26">
        <v>7</v>
      </c>
      <c r="FQ23" s="26">
        <v>7.2</v>
      </c>
      <c r="FR23" s="26">
        <v>8.6</v>
      </c>
      <c r="FS23" s="26">
        <v>9.1</v>
      </c>
      <c r="FT23" s="40">
        <v>6.62</v>
      </c>
      <c r="FU23" s="40">
        <v>6.11</v>
      </c>
      <c r="FV23" s="26">
        <v>8</v>
      </c>
      <c r="FW23" s="26">
        <v>8.1999999999999993</v>
      </c>
      <c r="FX23" s="26">
        <v>7.7</v>
      </c>
      <c r="FY23" s="26">
        <v>6.7</v>
      </c>
      <c r="FZ23" s="26">
        <v>8.4</v>
      </c>
      <c r="GA23" s="26">
        <v>2.6</v>
      </c>
    </row>
    <row r="24" spans="1:183" x14ac:dyDescent="0.3">
      <c r="AK24" s="35"/>
      <c r="AL24" s="35"/>
      <c r="AM24" s="35"/>
    </row>
    <row r="25" spans="1:183" x14ac:dyDescent="0.3">
      <c r="AK25" s="35"/>
      <c r="AL25" s="35"/>
      <c r="AM25" s="35"/>
    </row>
  </sheetData>
  <mergeCells count="99">
    <mergeCell ref="FN1:GA1"/>
    <mergeCell ref="FN2:FO2"/>
    <mergeCell ref="FP2:FQ2"/>
    <mergeCell ref="FR2:FS2"/>
    <mergeCell ref="FT2:FU2"/>
    <mergeCell ref="FV2:FW2"/>
    <mergeCell ref="FX2:FY2"/>
    <mergeCell ref="FZ2:GA2"/>
    <mergeCell ref="B2:C2"/>
    <mergeCell ref="B1:Y1"/>
    <mergeCell ref="Z1:AW1"/>
    <mergeCell ref="AX1:BU1"/>
    <mergeCell ref="BV1:CS1"/>
    <mergeCell ref="AX2:AY2"/>
    <mergeCell ref="AZ2:BA2"/>
    <mergeCell ref="BB2:BC2"/>
    <mergeCell ref="BD2:BE2"/>
    <mergeCell ref="AD2:AE2"/>
    <mergeCell ref="AF2:AG2"/>
    <mergeCell ref="AH2:AI2"/>
    <mergeCell ref="AJ2:AK2"/>
    <mergeCell ref="N2:O2"/>
    <mergeCell ref="BR2:BS2"/>
    <mergeCell ref="BT2:BU2"/>
    <mergeCell ref="CL2:CM2"/>
    <mergeCell ref="CN2:CO2"/>
    <mergeCell ref="CP2:CQ2"/>
    <mergeCell ref="CR2:CS2"/>
    <mergeCell ref="FH2:FI2"/>
    <mergeCell ref="EJ2:EK2"/>
    <mergeCell ref="EL2:EM2"/>
    <mergeCell ref="EN2:EO2"/>
    <mergeCell ref="D2:E2"/>
    <mergeCell ref="F2:G2"/>
    <mergeCell ref="H2:I2"/>
    <mergeCell ref="J2:K2"/>
    <mergeCell ref="L2:M2"/>
    <mergeCell ref="AV2:AW2"/>
    <mergeCell ref="P2:Q2"/>
    <mergeCell ref="R2:S2"/>
    <mergeCell ref="T2:U2"/>
    <mergeCell ref="V2:W2"/>
    <mergeCell ref="X2:Y2"/>
    <mergeCell ref="Z2:AA2"/>
    <mergeCell ref="AB2:AC2"/>
    <mergeCell ref="AL2:AM2"/>
    <mergeCell ref="AN2:AO2"/>
    <mergeCell ref="AP2:AQ2"/>
    <mergeCell ref="AR2:AS2"/>
    <mergeCell ref="AT2:AU2"/>
    <mergeCell ref="CJ2:CK2"/>
    <mergeCell ref="BF2:BG2"/>
    <mergeCell ref="BH2:BI2"/>
    <mergeCell ref="BJ2:BK2"/>
    <mergeCell ref="BL2:BM2"/>
    <mergeCell ref="BN2:BO2"/>
    <mergeCell ref="BP2:BQ2"/>
    <mergeCell ref="BV2:BW2"/>
    <mergeCell ref="BX2:BY2"/>
    <mergeCell ref="BZ2:CA2"/>
    <mergeCell ref="CB2:CC2"/>
    <mergeCell ref="CD2:CE2"/>
    <mergeCell ref="CF2:CG2"/>
    <mergeCell ref="CH2:CI2"/>
    <mergeCell ref="CT1:DQ1"/>
    <mergeCell ref="CT2:CU2"/>
    <mergeCell ref="CV2:CW2"/>
    <mergeCell ref="CX2:CY2"/>
    <mergeCell ref="CZ2:DA2"/>
    <mergeCell ref="DB2:DC2"/>
    <mergeCell ref="DD2:DE2"/>
    <mergeCell ref="DF2:DG2"/>
    <mergeCell ref="DH2:DI2"/>
    <mergeCell ref="DJ2:DK2"/>
    <mergeCell ref="DP2:DQ2"/>
    <mergeCell ref="DL2:DM2"/>
    <mergeCell ref="DN2:DO2"/>
    <mergeCell ref="DR1:EO1"/>
    <mergeCell ref="DR2:DS2"/>
    <mergeCell ref="DT2:DU2"/>
    <mergeCell ref="DV2:DW2"/>
    <mergeCell ref="DX2:DY2"/>
    <mergeCell ref="DZ2:EA2"/>
    <mergeCell ref="EB2:EC2"/>
    <mergeCell ref="ED2:EE2"/>
    <mergeCell ref="EF2:EG2"/>
    <mergeCell ref="EH2:EI2"/>
    <mergeCell ref="EP1:FM1"/>
    <mergeCell ref="EP2:EQ2"/>
    <mergeCell ref="ER2:ES2"/>
    <mergeCell ref="ET2:EU2"/>
    <mergeCell ref="EV2:EW2"/>
    <mergeCell ref="EX2:EY2"/>
    <mergeCell ref="EZ2:FA2"/>
    <mergeCell ref="FB2:FC2"/>
    <mergeCell ref="FD2:FE2"/>
    <mergeCell ref="FF2:FG2"/>
    <mergeCell ref="FJ2:FK2"/>
    <mergeCell ref="FL2:FM2"/>
  </mergeCells>
  <phoneticPr fontId="6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64809-A710-4A91-97CC-BF3A79A644EC}">
  <dimension ref="A2:Q26"/>
  <sheetViews>
    <sheetView workbookViewId="0">
      <selection activeCell="D27" sqref="D27"/>
    </sheetView>
  </sheetViews>
  <sheetFormatPr defaultRowHeight="15" x14ac:dyDescent="0.25"/>
  <cols>
    <col min="1" max="1" width="19.85546875" customWidth="1"/>
    <col min="2" max="2" width="14.28515625" customWidth="1"/>
    <col min="3" max="9" width="15.7109375" customWidth="1"/>
    <col min="10" max="17" width="16.140625" customWidth="1"/>
  </cols>
  <sheetData>
    <row r="2" spans="1:17" x14ac:dyDescent="0.25">
      <c r="A2" s="13" t="s">
        <v>20</v>
      </c>
      <c r="B2" s="16" t="s">
        <v>42</v>
      </c>
      <c r="C2" s="16"/>
      <c r="D2" s="16"/>
      <c r="E2" s="16"/>
      <c r="F2" s="16"/>
      <c r="G2" s="16"/>
      <c r="H2" s="16"/>
      <c r="I2" s="16"/>
      <c r="J2" s="16" t="s">
        <v>43</v>
      </c>
      <c r="K2" s="16"/>
      <c r="L2" s="16"/>
      <c r="M2" s="16"/>
      <c r="N2" s="16"/>
      <c r="O2" s="16"/>
      <c r="P2" s="16"/>
      <c r="Q2" s="16"/>
    </row>
    <row r="3" spans="1:17" ht="19.5" customHeight="1" x14ac:dyDescent="0.25">
      <c r="A3" s="14"/>
      <c r="B3" s="17" t="s">
        <v>46</v>
      </c>
      <c r="C3" s="20" t="s">
        <v>47</v>
      </c>
      <c r="D3" s="21"/>
      <c r="E3" s="21"/>
      <c r="F3" s="21"/>
      <c r="G3" s="21"/>
      <c r="H3" s="21"/>
      <c r="I3" s="22"/>
      <c r="J3" s="17" t="s">
        <v>48</v>
      </c>
      <c r="K3" s="20" t="s">
        <v>47</v>
      </c>
      <c r="L3" s="21"/>
      <c r="M3" s="21"/>
      <c r="N3" s="21"/>
      <c r="O3" s="21"/>
      <c r="P3" s="21"/>
      <c r="Q3" s="22"/>
    </row>
    <row r="4" spans="1:17" ht="30.75" customHeight="1" x14ac:dyDescent="0.25">
      <c r="A4" s="14"/>
      <c r="B4" s="18"/>
      <c r="C4" s="11" t="s">
        <v>49</v>
      </c>
      <c r="D4" s="12"/>
      <c r="E4" s="11" t="s">
        <v>50</v>
      </c>
      <c r="F4" s="12"/>
      <c r="G4" s="12"/>
      <c r="H4" s="12"/>
      <c r="I4" s="11" t="s">
        <v>51</v>
      </c>
      <c r="J4" s="18"/>
      <c r="K4" s="11" t="s">
        <v>49</v>
      </c>
      <c r="L4" s="12"/>
      <c r="M4" s="11" t="s">
        <v>50</v>
      </c>
      <c r="N4" s="12"/>
      <c r="O4" s="12"/>
      <c r="P4" s="12"/>
      <c r="Q4" s="11" t="s">
        <v>51</v>
      </c>
    </row>
    <row r="5" spans="1:17" ht="42.75" x14ac:dyDescent="0.25">
      <c r="A5" s="15"/>
      <c r="B5" s="19"/>
      <c r="C5" s="1" t="s">
        <v>52</v>
      </c>
      <c r="D5" s="1" t="s">
        <v>53</v>
      </c>
      <c r="E5" s="1" t="s">
        <v>54</v>
      </c>
      <c r="F5" s="1" t="s">
        <v>55</v>
      </c>
      <c r="G5" s="1" t="s">
        <v>56</v>
      </c>
      <c r="H5" s="1" t="s">
        <v>57</v>
      </c>
      <c r="I5" s="12"/>
      <c r="J5" s="19"/>
      <c r="K5" s="1" t="s">
        <v>52</v>
      </c>
      <c r="L5" s="1" t="s">
        <v>53</v>
      </c>
      <c r="M5" s="1" t="s">
        <v>54</v>
      </c>
      <c r="N5" s="1" t="s">
        <v>55</v>
      </c>
      <c r="O5" s="1" t="s">
        <v>56</v>
      </c>
      <c r="P5" s="1" t="s">
        <v>57</v>
      </c>
      <c r="Q5" s="12"/>
    </row>
    <row r="6" spans="1:17" ht="15.75" x14ac:dyDescent="0.25">
      <c r="A6" s="2" t="s">
        <v>58</v>
      </c>
      <c r="B6" s="3">
        <v>226</v>
      </c>
      <c r="C6" s="4">
        <v>9</v>
      </c>
      <c r="D6" s="4">
        <v>6</v>
      </c>
      <c r="E6" s="4">
        <v>83</v>
      </c>
      <c r="F6" s="4">
        <v>23</v>
      </c>
      <c r="G6" s="4">
        <v>2</v>
      </c>
      <c r="H6" s="4">
        <v>60</v>
      </c>
      <c r="I6" s="4">
        <v>43</v>
      </c>
      <c r="J6" s="3">
        <v>181</v>
      </c>
      <c r="K6" s="4">
        <v>11</v>
      </c>
      <c r="L6" s="4">
        <v>43</v>
      </c>
      <c r="M6" s="4">
        <v>22</v>
      </c>
      <c r="N6" s="4">
        <v>3</v>
      </c>
      <c r="O6" s="4">
        <v>0</v>
      </c>
      <c r="P6" s="4">
        <v>8</v>
      </c>
      <c r="Q6" s="4">
        <v>94</v>
      </c>
    </row>
    <row r="7" spans="1:17" ht="15.75" x14ac:dyDescent="0.25">
      <c r="A7" s="2" t="s">
        <v>59</v>
      </c>
      <c r="B7" s="3">
        <v>32</v>
      </c>
      <c r="C7" s="5">
        <v>2</v>
      </c>
      <c r="D7" s="5">
        <v>0</v>
      </c>
      <c r="E7" s="6">
        <v>20</v>
      </c>
      <c r="F7" s="6">
        <v>1</v>
      </c>
      <c r="G7" s="6">
        <v>0</v>
      </c>
      <c r="H7" s="6">
        <v>7</v>
      </c>
      <c r="I7" s="6">
        <v>2</v>
      </c>
      <c r="J7" s="3">
        <v>409</v>
      </c>
      <c r="K7" s="5">
        <v>45</v>
      </c>
      <c r="L7" s="5">
        <v>12</v>
      </c>
      <c r="M7" s="6">
        <v>240</v>
      </c>
      <c r="N7" s="6">
        <v>16</v>
      </c>
      <c r="O7" s="6">
        <v>0</v>
      </c>
      <c r="P7" s="6">
        <v>57</v>
      </c>
      <c r="Q7" s="6">
        <v>39</v>
      </c>
    </row>
    <row r="8" spans="1:17" ht="15.75" x14ac:dyDescent="0.25">
      <c r="A8" s="2" t="s">
        <v>60</v>
      </c>
      <c r="B8" s="3">
        <v>122</v>
      </c>
      <c r="C8" s="7">
        <v>12</v>
      </c>
      <c r="D8" s="7">
        <v>0</v>
      </c>
      <c r="E8" s="4">
        <v>40</v>
      </c>
      <c r="F8" s="4">
        <v>30</v>
      </c>
      <c r="G8" s="4">
        <v>0</v>
      </c>
      <c r="H8" s="4">
        <v>35</v>
      </c>
      <c r="I8" s="4">
        <v>5</v>
      </c>
      <c r="J8" s="3">
        <v>600</v>
      </c>
      <c r="K8" s="7">
        <v>79</v>
      </c>
      <c r="L8" s="7">
        <v>21</v>
      </c>
      <c r="M8" s="4">
        <v>162</v>
      </c>
      <c r="N8" s="4">
        <v>146</v>
      </c>
      <c r="O8" s="4"/>
      <c r="P8" s="4">
        <v>134</v>
      </c>
      <c r="Q8" s="4">
        <v>58</v>
      </c>
    </row>
    <row r="9" spans="1:17" ht="15.75" x14ac:dyDescent="0.25">
      <c r="A9" s="2" t="s">
        <v>61</v>
      </c>
      <c r="B9" s="3">
        <v>304</v>
      </c>
      <c r="C9" s="7">
        <v>31</v>
      </c>
      <c r="D9" s="7">
        <v>5</v>
      </c>
      <c r="E9" s="4">
        <v>132</v>
      </c>
      <c r="F9" s="4">
        <v>53</v>
      </c>
      <c r="G9" s="4">
        <v>0</v>
      </c>
      <c r="H9" s="4">
        <v>64</v>
      </c>
      <c r="I9" s="4">
        <v>19</v>
      </c>
      <c r="J9" s="3">
        <v>403</v>
      </c>
      <c r="K9" s="7">
        <v>39</v>
      </c>
      <c r="L9" s="7">
        <v>7</v>
      </c>
      <c r="M9" s="4">
        <v>193</v>
      </c>
      <c r="N9" s="4">
        <v>30</v>
      </c>
      <c r="O9" s="4">
        <v>0</v>
      </c>
      <c r="P9" s="4">
        <v>92</v>
      </c>
      <c r="Q9" s="4">
        <v>42</v>
      </c>
    </row>
    <row r="10" spans="1:17" ht="15.75" x14ac:dyDescent="0.25">
      <c r="A10" s="2" t="s">
        <v>62</v>
      </c>
      <c r="B10" s="3">
        <v>268</v>
      </c>
      <c r="C10" s="7">
        <v>8</v>
      </c>
      <c r="D10" s="7">
        <v>24</v>
      </c>
      <c r="E10" s="4">
        <v>46</v>
      </c>
      <c r="F10" s="4">
        <v>36</v>
      </c>
      <c r="G10" s="4">
        <v>4</v>
      </c>
      <c r="H10" s="4">
        <v>67</v>
      </c>
      <c r="I10" s="4">
        <v>83</v>
      </c>
      <c r="J10" s="3">
        <v>53</v>
      </c>
      <c r="K10" s="7">
        <v>12</v>
      </c>
      <c r="L10" s="7">
        <v>9</v>
      </c>
      <c r="M10" s="4">
        <v>10</v>
      </c>
      <c r="N10" s="4">
        <v>6</v>
      </c>
      <c r="O10" s="4">
        <v>3</v>
      </c>
      <c r="P10" s="4">
        <v>7</v>
      </c>
      <c r="Q10" s="4">
        <v>6</v>
      </c>
    </row>
    <row r="11" spans="1:17" ht="15.75" x14ac:dyDescent="0.25">
      <c r="A11" s="2" t="s">
        <v>63</v>
      </c>
      <c r="B11" s="3">
        <v>927</v>
      </c>
      <c r="C11" s="7">
        <v>151</v>
      </c>
      <c r="D11" s="7">
        <v>24</v>
      </c>
      <c r="E11" s="4">
        <v>270</v>
      </c>
      <c r="F11" s="4">
        <v>134</v>
      </c>
      <c r="G11" s="4">
        <v>40</v>
      </c>
      <c r="H11" s="4">
        <v>219</v>
      </c>
      <c r="I11" s="4">
        <v>89</v>
      </c>
      <c r="J11" s="3">
        <v>563</v>
      </c>
      <c r="K11" s="7">
        <v>78</v>
      </c>
      <c r="L11" s="7">
        <v>28</v>
      </c>
      <c r="M11" s="4">
        <v>150</v>
      </c>
      <c r="N11" s="4">
        <v>77</v>
      </c>
      <c r="O11" s="4">
        <v>8</v>
      </c>
      <c r="P11" s="4">
        <v>122</v>
      </c>
      <c r="Q11" s="4">
        <v>100</v>
      </c>
    </row>
    <row r="12" spans="1:17" ht="15.75" x14ac:dyDescent="0.25">
      <c r="A12" s="2" t="s">
        <v>64</v>
      </c>
      <c r="B12" s="3">
        <v>21</v>
      </c>
      <c r="C12" s="7">
        <v>0</v>
      </c>
      <c r="D12" s="7">
        <v>7</v>
      </c>
      <c r="E12" s="4">
        <v>2</v>
      </c>
      <c r="F12" s="4">
        <v>5</v>
      </c>
      <c r="G12" s="4">
        <v>0</v>
      </c>
      <c r="H12" s="4">
        <v>3</v>
      </c>
      <c r="I12" s="4">
        <v>4</v>
      </c>
      <c r="J12" s="3">
        <v>298</v>
      </c>
      <c r="K12" s="7">
        <v>15</v>
      </c>
      <c r="L12" s="7">
        <v>15</v>
      </c>
      <c r="M12" s="4">
        <v>71</v>
      </c>
      <c r="N12" s="4">
        <v>77</v>
      </c>
      <c r="O12" s="4">
        <v>0</v>
      </c>
      <c r="P12" s="4">
        <v>84</v>
      </c>
      <c r="Q12" s="4">
        <v>36</v>
      </c>
    </row>
    <row r="13" spans="1:17" ht="15.75" x14ac:dyDescent="0.25">
      <c r="A13" s="2" t="s">
        <v>65</v>
      </c>
      <c r="B13" s="3">
        <v>108</v>
      </c>
      <c r="C13" s="7">
        <v>12</v>
      </c>
      <c r="D13" s="7">
        <v>14</v>
      </c>
      <c r="E13" s="4">
        <v>36</v>
      </c>
      <c r="F13" s="4">
        <v>18</v>
      </c>
      <c r="G13" s="4">
        <v>0</v>
      </c>
      <c r="H13" s="4">
        <v>18</v>
      </c>
      <c r="I13" s="4">
        <v>10</v>
      </c>
      <c r="J13" s="3">
        <v>490</v>
      </c>
      <c r="K13" s="7">
        <v>59</v>
      </c>
      <c r="L13" s="7">
        <v>15</v>
      </c>
      <c r="M13" s="4">
        <v>185</v>
      </c>
      <c r="N13" s="4">
        <v>49</v>
      </c>
      <c r="O13" s="4">
        <v>0</v>
      </c>
      <c r="P13" s="4">
        <v>138</v>
      </c>
      <c r="Q13" s="4">
        <v>44</v>
      </c>
    </row>
    <row r="14" spans="1:17" ht="15.75" x14ac:dyDescent="0.25">
      <c r="A14" s="2" t="s">
        <v>66</v>
      </c>
      <c r="B14" s="3">
        <v>52</v>
      </c>
      <c r="C14" s="5">
        <v>1</v>
      </c>
      <c r="D14" s="5">
        <v>4</v>
      </c>
      <c r="E14" s="6">
        <v>23</v>
      </c>
      <c r="F14" s="6">
        <v>2</v>
      </c>
      <c r="G14" s="6">
        <v>0</v>
      </c>
      <c r="H14" s="6">
        <v>10</v>
      </c>
      <c r="I14" s="6">
        <v>12</v>
      </c>
      <c r="J14" s="3">
        <v>294</v>
      </c>
      <c r="K14" s="5">
        <v>14</v>
      </c>
      <c r="L14" s="5">
        <v>12</v>
      </c>
      <c r="M14" s="6">
        <v>105</v>
      </c>
      <c r="N14" s="6">
        <v>24</v>
      </c>
      <c r="O14" s="6">
        <v>0</v>
      </c>
      <c r="P14" s="6">
        <v>91</v>
      </c>
      <c r="Q14" s="6">
        <v>48</v>
      </c>
    </row>
    <row r="15" spans="1:17" ht="15.75" x14ac:dyDescent="0.25">
      <c r="A15" s="2" t="s">
        <v>67</v>
      </c>
      <c r="B15" s="3">
        <v>339</v>
      </c>
      <c r="C15" s="7">
        <v>65</v>
      </c>
      <c r="D15" s="7">
        <v>12</v>
      </c>
      <c r="E15" s="4">
        <v>112</v>
      </c>
      <c r="F15" s="4">
        <v>41</v>
      </c>
      <c r="G15" s="4">
        <v>0</v>
      </c>
      <c r="H15" s="4">
        <v>88</v>
      </c>
      <c r="I15" s="4">
        <v>21</v>
      </c>
      <c r="J15" s="3">
        <v>99</v>
      </c>
      <c r="K15" s="7">
        <v>12</v>
      </c>
      <c r="L15" s="7">
        <v>2</v>
      </c>
      <c r="M15" s="4">
        <v>36</v>
      </c>
      <c r="N15" s="4">
        <v>4</v>
      </c>
      <c r="O15" s="4">
        <v>0</v>
      </c>
      <c r="P15" s="4">
        <v>35</v>
      </c>
      <c r="Q15" s="4">
        <v>10</v>
      </c>
    </row>
    <row r="16" spans="1:17" ht="15.75" x14ac:dyDescent="0.25">
      <c r="A16" s="2" t="s">
        <v>68</v>
      </c>
      <c r="B16" s="3">
        <v>81</v>
      </c>
      <c r="C16" s="7">
        <v>11</v>
      </c>
      <c r="D16" s="7">
        <v>8</v>
      </c>
      <c r="E16" s="4">
        <v>25</v>
      </c>
      <c r="F16" s="4">
        <v>8</v>
      </c>
      <c r="G16" s="4">
        <v>0</v>
      </c>
      <c r="H16" s="4">
        <v>16</v>
      </c>
      <c r="I16" s="4">
        <v>13</v>
      </c>
      <c r="J16" s="3">
        <v>236</v>
      </c>
      <c r="K16" s="7">
        <v>57</v>
      </c>
      <c r="L16" s="7">
        <v>13</v>
      </c>
      <c r="M16" s="4">
        <v>81</v>
      </c>
      <c r="N16" s="4">
        <v>20</v>
      </c>
      <c r="O16" s="4">
        <v>0</v>
      </c>
      <c r="P16" s="4">
        <v>47</v>
      </c>
      <c r="Q16" s="4">
        <v>18</v>
      </c>
    </row>
    <row r="17" spans="1:17" ht="15.75" x14ac:dyDescent="0.25">
      <c r="A17" s="2" t="s">
        <v>69</v>
      </c>
      <c r="B17" s="3">
        <v>150</v>
      </c>
      <c r="C17" s="7">
        <v>11</v>
      </c>
      <c r="D17" s="7">
        <v>9</v>
      </c>
      <c r="E17" s="4">
        <v>72</v>
      </c>
      <c r="F17" s="4">
        <v>10</v>
      </c>
      <c r="G17" s="4">
        <v>0</v>
      </c>
      <c r="H17" s="4">
        <v>35</v>
      </c>
      <c r="I17" s="4">
        <v>13</v>
      </c>
      <c r="J17" s="3">
        <v>402</v>
      </c>
      <c r="K17" s="7">
        <v>43</v>
      </c>
      <c r="L17" s="7">
        <v>14</v>
      </c>
      <c r="M17" s="4">
        <v>203</v>
      </c>
      <c r="N17" s="4">
        <v>24</v>
      </c>
      <c r="O17" s="4">
        <v>0</v>
      </c>
      <c r="P17" s="4">
        <v>64</v>
      </c>
      <c r="Q17" s="4">
        <v>54</v>
      </c>
    </row>
    <row r="18" spans="1:17" ht="15.75" x14ac:dyDescent="0.25">
      <c r="A18" s="2" t="s">
        <v>70</v>
      </c>
      <c r="B18" s="3">
        <v>70</v>
      </c>
      <c r="C18" s="7">
        <v>2</v>
      </c>
      <c r="D18" s="7">
        <v>3</v>
      </c>
      <c r="E18" s="4">
        <v>24</v>
      </c>
      <c r="F18" s="4">
        <v>9</v>
      </c>
      <c r="G18" s="4">
        <v>0</v>
      </c>
      <c r="H18" s="4">
        <v>20</v>
      </c>
      <c r="I18" s="4">
        <v>12</v>
      </c>
      <c r="J18" s="3">
        <v>74</v>
      </c>
      <c r="K18" s="7">
        <v>5</v>
      </c>
      <c r="L18" s="7">
        <v>9</v>
      </c>
      <c r="M18" s="4">
        <v>28</v>
      </c>
      <c r="N18" s="4">
        <v>9</v>
      </c>
      <c r="O18" s="4">
        <v>0</v>
      </c>
      <c r="P18" s="4">
        <v>7</v>
      </c>
      <c r="Q18" s="4">
        <v>16</v>
      </c>
    </row>
    <row r="19" spans="1:17" ht="15.75" x14ac:dyDescent="0.25">
      <c r="A19" s="2" t="s">
        <v>71</v>
      </c>
      <c r="B19" s="3">
        <v>25</v>
      </c>
      <c r="C19" s="7">
        <v>4</v>
      </c>
      <c r="D19" s="7">
        <v>2</v>
      </c>
      <c r="E19" s="4">
        <v>2</v>
      </c>
      <c r="F19" s="4">
        <v>3</v>
      </c>
      <c r="G19" s="4">
        <v>3</v>
      </c>
      <c r="H19" s="4">
        <v>7</v>
      </c>
      <c r="I19" s="4">
        <v>4</v>
      </c>
      <c r="J19" s="3">
        <v>48</v>
      </c>
      <c r="K19" s="7">
        <v>15</v>
      </c>
      <c r="L19" s="7">
        <v>6</v>
      </c>
      <c r="M19" s="4">
        <v>8</v>
      </c>
      <c r="N19" s="4">
        <v>8</v>
      </c>
      <c r="O19" s="4">
        <v>3</v>
      </c>
      <c r="P19" s="4">
        <v>8</v>
      </c>
      <c r="Q19" s="4">
        <v>0</v>
      </c>
    </row>
    <row r="20" spans="1:17" ht="15.75" x14ac:dyDescent="0.25">
      <c r="A20" s="2" t="s">
        <v>72</v>
      </c>
      <c r="B20" s="3">
        <v>460</v>
      </c>
      <c r="C20" s="7">
        <v>30</v>
      </c>
      <c r="D20" s="7">
        <v>4</v>
      </c>
      <c r="E20" s="4">
        <v>223</v>
      </c>
      <c r="F20" s="4">
        <v>58</v>
      </c>
      <c r="G20" s="4">
        <v>5</v>
      </c>
      <c r="H20" s="4">
        <v>97</v>
      </c>
      <c r="I20" s="4">
        <v>43</v>
      </c>
      <c r="J20" s="3">
        <v>917</v>
      </c>
      <c r="K20" s="7">
        <v>36</v>
      </c>
      <c r="L20" s="7">
        <v>1</v>
      </c>
      <c r="M20" s="4">
        <v>456</v>
      </c>
      <c r="N20" s="4">
        <v>134</v>
      </c>
      <c r="O20" s="4">
        <v>0</v>
      </c>
      <c r="P20" s="4">
        <v>202</v>
      </c>
      <c r="Q20" s="4">
        <v>88</v>
      </c>
    </row>
    <row r="21" spans="1:17" ht="15.75" x14ac:dyDescent="0.25">
      <c r="A21" s="2" t="s">
        <v>73</v>
      </c>
      <c r="B21" s="3">
        <v>954</v>
      </c>
      <c r="C21" s="7">
        <v>20</v>
      </c>
      <c r="D21" s="7">
        <v>4</v>
      </c>
      <c r="E21" s="4">
        <v>544</v>
      </c>
      <c r="F21" s="4">
        <v>70</v>
      </c>
      <c r="G21" s="4">
        <v>88</v>
      </c>
      <c r="H21" s="4">
        <v>164</v>
      </c>
      <c r="I21" s="4">
        <v>64</v>
      </c>
      <c r="J21" s="3">
        <v>1732</v>
      </c>
      <c r="K21" s="7">
        <v>24</v>
      </c>
      <c r="L21" s="7">
        <v>21</v>
      </c>
      <c r="M21" s="4">
        <v>806</v>
      </c>
      <c r="N21" s="4">
        <v>179</v>
      </c>
      <c r="O21" s="4">
        <v>61</v>
      </c>
      <c r="P21" s="4">
        <v>346</v>
      </c>
      <c r="Q21" s="4">
        <v>295</v>
      </c>
    </row>
    <row r="22" spans="1:17" ht="15.75" x14ac:dyDescent="0.25">
      <c r="A22" s="2" t="s">
        <v>74</v>
      </c>
      <c r="B22" s="3">
        <v>1</v>
      </c>
      <c r="C22" s="7">
        <v>0</v>
      </c>
      <c r="D22" s="7">
        <v>0</v>
      </c>
      <c r="E22" s="4">
        <v>0</v>
      </c>
      <c r="F22" s="4">
        <v>0</v>
      </c>
      <c r="G22" s="4">
        <v>0</v>
      </c>
      <c r="H22" s="4">
        <v>0</v>
      </c>
      <c r="I22" s="4">
        <v>1</v>
      </c>
      <c r="J22" s="3">
        <v>0</v>
      </c>
      <c r="K22" s="7">
        <v>0</v>
      </c>
      <c r="L22" s="7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</row>
    <row r="23" spans="1:17" ht="15.75" x14ac:dyDescent="0.25">
      <c r="A23" s="2" t="s">
        <v>75</v>
      </c>
      <c r="B23" s="3">
        <v>39</v>
      </c>
      <c r="C23" s="7">
        <v>5</v>
      </c>
      <c r="D23" s="7">
        <v>5</v>
      </c>
      <c r="E23" s="4">
        <v>5</v>
      </c>
      <c r="F23" s="4">
        <v>15</v>
      </c>
      <c r="G23" s="4">
        <v>0</v>
      </c>
      <c r="H23" s="4">
        <v>6</v>
      </c>
      <c r="I23" s="4">
        <v>3</v>
      </c>
      <c r="J23" s="3">
        <v>89</v>
      </c>
      <c r="K23" s="7">
        <v>26</v>
      </c>
      <c r="L23" s="7">
        <v>9</v>
      </c>
      <c r="M23" s="4">
        <v>8</v>
      </c>
      <c r="N23" s="4">
        <v>11</v>
      </c>
      <c r="O23" s="4">
        <v>0</v>
      </c>
      <c r="P23" s="4">
        <v>19</v>
      </c>
      <c r="Q23" s="4">
        <v>16</v>
      </c>
    </row>
    <row r="24" spans="1:17" ht="15.75" x14ac:dyDescent="0.25">
      <c r="A24" s="2" t="s">
        <v>76</v>
      </c>
      <c r="B24" s="3">
        <v>41</v>
      </c>
      <c r="C24" s="7">
        <v>3</v>
      </c>
      <c r="D24" s="7">
        <v>1</v>
      </c>
      <c r="E24" s="4">
        <v>12</v>
      </c>
      <c r="F24" s="4">
        <v>9</v>
      </c>
      <c r="G24" s="4"/>
      <c r="H24" s="4">
        <v>14</v>
      </c>
      <c r="I24" s="4">
        <v>2</v>
      </c>
      <c r="J24" s="3">
        <v>145</v>
      </c>
      <c r="K24" s="7">
        <v>11</v>
      </c>
      <c r="L24" s="7">
        <v>10</v>
      </c>
      <c r="M24" s="4">
        <v>38</v>
      </c>
      <c r="N24" s="4">
        <v>27</v>
      </c>
      <c r="O24" s="4">
        <v>0</v>
      </c>
      <c r="P24" s="4">
        <v>38</v>
      </c>
      <c r="Q24" s="4">
        <v>21</v>
      </c>
    </row>
    <row r="25" spans="1:17" ht="15.75" x14ac:dyDescent="0.25">
      <c r="A25" s="2" t="s">
        <v>77</v>
      </c>
      <c r="B25" s="3">
        <v>20</v>
      </c>
      <c r="C25" s="4">
        <v>2</v>
      </c>
      <c r="D25" s="4">
        <v>0</v>
      </c>
      <c r="E25" s="4">
        <v>15</v>
      </c>
      <c r="F25" s="4">
        <v>2</v>
      </c>
      <c r="G25" s="4">
        <v>0</v>
      </c>
      <c r="H25" s="4">
        <v>1</v>
      </c>
      <c r="I25" s="4">
        <v>0</v>
      </c>
      <c r="J25" s="3">
        <v>94</v>
      </c>
      <c r="K25" s="4">
        <v>11</v>
      </c>
      <c r="L25" s="4">
        <v>3</v>
      </c>
      <c r="M25" s="4">
        <v>40</v>
      </c>
      <c r="N25" s="4">
        <v>15</v>
      </c>
      <c r="O25" s="4">
        <v>2</v>
      </c>
      <c r="P25" s="4">
        <v>18</v>
      </c>
      <c r="Q25" s="4">
        <v>5</v>
      </c>
    </row>
    <row r="26" spans="1:17" ht="15.75" x14ac:dyDescent="0.25">
      <c r="A26" s="8" t="s">
        <v>78</v>
      </c>
      <c r="B26" s="9">
        <v>4240</v>
      </c>
      <c r="C26" s="10">
        <f t="shared" ref="C26:I26" si="0">SUM(C6:C25)</f>
        <v>379</v>
      </c>
      <c r="D26" s="10">
        <f t="shared" si="0"/>
        <v>132</v>
      </c>
      <c r="E26" s="10">
        <f t="shared" si="0"/>
        <v>1686</v>
      </c>
      <c r="F26" s="10">
        <f t="shared" si="0"/>
        <v>527</v>
      </c>
      <c r="G26" s="10">
        <f t="shared" si="0"/>
        <v>142</v>
      </c>
      <c r="H26" s="10">
        <f t="shared" si="0"/>
        <v>931</v>
      </c>
      <c r="I26" s="10">
        <f t="shared" si="0"/>
        <v>443</v>
      </c>
      <c r="J26" s="9">
        <v>7127</v>
      </c>
      <c r="K26" s="10">
        <v>592</v>
      </c>
      <c r="L26" s="10">
        <v>250</v>
      </c>
      <c r="M26" s="10">
        <v>2842</v>
      </c>
      <c r="N26" s="10">
        <v>859</v>
      </c>
      <c r="O26" s="10">
        <v>77</v>
      </c>
      <c r="P26" s="10">
        <v>1517</v>
      </c>
      <c r="Q26" s="10">
        <v>990</v>
      </c>
    </row>
  </sheetData>
  <mergeCells count="13">
    <mergeCell ref="K4:L4"/>
    <mergeCell ref="M4:P4"/>
    <mergeCell ref="Q4:Q5"/>
    <mergeCell ref="A2:A5"/>
    <mergeCell ref="B2:I2"/>
    <mergeCell ref="J2:Q2"/>
    <mergeCell ref="B3:B5"/>
    <mergeCell ref="C3:I3"/>
    <mergeCell ref="J3:J5"/>
    <mergeCell ref="K3:Q3"/>
    <mergeCell ref="C4:D4"/>
    <mergeCell ref="E4:H4"/>
    <mergeCell ref="I4:I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заболев</vt:lpstr>
      <vt:lpstr>Охват</vt:lpstr>
      <vt:lpstr>попривит.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2026-09-11T12:11:43Z</dcterms:modified>
</cp:coreProperties>
</file>